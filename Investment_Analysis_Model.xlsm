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5.xml" ContentType="application/vnd.ms-excel.controlproperties+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codeName="{643B0D74-A683-FBA9-23B4-8A0AA6E0B6B9}"/>
  <workbookPr codeName="ThisWorkbook" defaultThemeVersion="202300"/>
  <mc:AlternateContent xmlns:mc="http://schemas.openxmlformats.org/markup-compatibility/2006">
    <mc:Choice Requires="x15">
      <x15ac:absPath xmlns:x15ac="http://schemas.microsoft.com/office/spreadsheetml/2010/11/ac" url="/Users/tatianananettetongwa/Library/CloudStorage/OneDrive-Personal/Investment Analysis/"/>
    </mc:Choice>
  </mc:AlternateContent>
  <xr:revisionPtr revIDLastSave="0" documentId="13_ncr:1_{A1E9330B-58E3-6A47-A68B-EBD2A2822FCC}" xr6:coauthVersionLast="47" xr6:coauthVersionMax="47" xr10:uidLastSave="{00000000-0000-0000-0000-000000000000}"/>
  <bookViews>
    <workbookView xWindow="0" yWindow="660" windowWidth="29400" windowHeight="18460" xr2:uid="{F56ABDE6-875F-4578-987F-070BA9C752E4}"/>
  </bookViews>
  <sheets>
    <sheet name="Sheet1" sheetId="1" r:id="rId1"/>
    <sheet name="sensitivity" sheetId="3" r:id="rId2"/>
    <sheet name="Scenario Summary" sheetId="6" r:id="rId3"/>
    <sheet name="MC_sim" sheetId="7" r:id="rId4"/>
    <sheet name="MC_data" sheetId="8" r:id="rId5"/>
    <sheet name="MC_hist" sheetId="9" r:id="rId6"/>
    <sheet name="Report" sheetId="2" r:id="rId7"/>
    <sheet name="Sheet2" sheetId="10" r:id="rId8"/>
  </sheets>
  <definedNames>
    <definedName name="_xleta.MIN" hidden="1" xlm="1">#NAME?</definedName>
    <definedName name="DPP">Sheet1!$G$32</definedName>
    <definedName name="DPP_data">MC_data!$E$1:$E$15</definedName>
    <definedName name="Inflation_rate">Sheet1!$Y$9</definedName>
    <definedName name="inflationRate">Sheet1!$Y$9</definedName>
    <definedName name="IRR">Sheet1!$G$29</definedName>
    <definedName name="irr_data">MC_data!$B$1:$B$15</definedName>
    <definedName name="NPV">Sheet1!$G$28</definedName>
    <definedName name="npv_data">MC_data!$A$1:$A$15</definedName>
    <definedName name="PI">Sheet1!$G$30</definedName>
    <definedName name="pi_data">MC_data!$C$1:$C$15</definedName>
    <definedName name="PP">Sheet1!$G$31</definedName>
    <definedName name="pp_data">MC_data!$D$1:$D$15</definedName>
    <definedName name="production_cost">Sheet1!$Y$13</definedName>
    <definedName name="productionCost">Sheet1!$Y$13</definedName>
    <definedName name="sc">Sheet1!$Y$44:$AC$46</definedName>
    <definedName name="sc_1">Sheet1!$Y$43:$AC$46</definedName>
    <definedName name="Taxes">Sheet1!$Y$15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9" l="1"/>
  <c r="AE3" i="9"/>
  <c r="AE4" i="9" s="1"/>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X3" i="9"/>
  <c r="X4" i="9" s="1"/>
  <c r="X5" i="9" s="1"/>
  <c r="X6" i="9" s="1"/>
  <c r="X7" i="9" s="1"/>
  <c r="X8" i="9" s="1"/>
  <c r="X9" i="9" s="1"/>
  <c r="X10" i="9" s="1"/>
  <c r="X11" i="9" s="1"/>
  <c r="X12" i="9" s="1"/>
  <c r="X13" i="9" s="1"/>
  <c r="X14" i="9" s="1"/>
  <c r="X15" i="9" s="1"/>
  <c r="X16" i="9" s="1"/>
  <c r="X17" i="9" s="1"/>
  <c r="X18" i="9" s="1"/>
  <c r="X19" i="9" s="1"/>
  <c r="X20" i="9" s="1"/>
  <c r="X21" i="9" s="1"/>
  <c r="X22" i="9" s="1"/>
  <c r="X23" i="9" s="1"/>
  <c r="X24" i="9" s="1"/>
  <c r="X25" i="9" s="1"/>
  <c r="X26" i="9" s="1"/>
  <c r="X27" i="9" s="1"/>
  <c r="X28" i="9" s="1"/>
  <c r="X29" i="9" s="1"/>
  <c r="X30" i="9" s="1"/>
  <c r="X31" i="9" s="1"/>
  <c r="X32" i="9" s="1"/>
  <c r="X33" i="9" s="1"/>
  <c r="X34" i="9" s="1"/>
  <c r="X35" i="9" s="1"/>
  <c r="X36" i="9" s="1"/>
  <c r="X37" i="9" s="1"/>
  <c r="X38" i="9" s="1"/>
  <c r="X39" i="9" s="1"/>
  <c r="X40" i="9" s="1"/>
  <c r="X41" i="9" s="1"/>
  <c r="X42" i="9" s="1"/>
  <c r="X43" i="9" s="1"/>
  <c r="X44" i="9" s="1"/>
  <c r="X45" i="9" s="1"/>
  <c r="X46" i="9" s="1"/>
  <c r="X47" i="9" s="1"/>
  <c r="X48" i="9" s="1"/>
  <c r="X49" i="9" s="1"/>
  <c r="X50" i="9" s="1"/>
  <c r="X51" i="9" s="1"/>
  <c r="X52" i="9" s="1"/>
  <c r="Q3" i="9"/>
  <c r="Q4" i="9" s="1"/>
  <c r="Q5" i="9" s="1"/>
  <c r="Q6" i="9" s="1"/>
  <c r="Q7" i="9" s="1"/>
  <c r="Q8" i="9" s="1"/>
  <c r="Q9" i="9" s="1"/>
  <c r="Q10" i="9" s="1"/>
  <c r="Q11" i="9" s="1"/>
  <c r="Q12" i="9" s="1"/>
  <c r="Q13" i="9" s="1"/>
  <c r="Q14" i="9" s="1"/>
  <c r="Q15" i="9" s="1"/>
  <c r="Q16" i="9" s="1"/>
  <c r="Q17" i="9" s="1"/>
  <c r="Q18" i="9" s="1"/>
  <c r="Q19" i="9" s="1"/>
  <c r="Q20" i="9" s="1"/>
  <c r="Q21" i="9" s="1"/>
  <c r="Q22" i="9" s="1"/>
  <c r="Q23" i="9" s="1"/>
  <c r="Q24" i="9" s="1"/>
  <c r="Q25" i="9" s="1"/>
  <c r="Q26" i="9" s="1"/>
  <c r="Q27" i="9" s="1"/>
  <c r="Q28" i="9" s="1"/>
  <c r="Q29" i="9" s="1"/>
  <c r="Q30" i="9" s="1"/>
  <c r="Q31" i="9" s="1"/>
  <c r="Q32" i="9" s="1"/>
  <c r="Q33" i="9" s="1"/>
  <c r="Q34" i="9" s="1"/>
  <c r="Q35" i="9" s="1"/>
  <c r="Q36" i="9" s="1"/>
  <c r="Q37" i="9" s="1"/>
  <c r="Q38" i="9" s="1"/>
  <c r="Q39" i="9" s="1"/>
  <c r="Q40" i="9" s="1"/>
  <c r="Q41" i="9" s="1"/>
  <c r="Q42" i="9" s="1"/>
  <c r="Q43" i="9" s="1"/>
  <c r="Q44" i="9" s="1"/>
  <c r="Q45" i="9" s="1"/>
  <c r="Q46" i="9" s="1"/>
  <c r="Q47" i="9" s="1"/>
  <c r="Q48" i="9" s="1"/>
  <c r="Q49" i="9" s="1"/>
  <c r="Q50" i="9" s="1"/>
  <c r="Q51" i="9" s="1"/>
  <c r="Q52" i="9" s="1"/>
  <c r="J3" i="9"/>
  <c r="J4" i="9" s="1"/>
  <c r="J5" i="9" s="1"/>
  <c r="J6" i="9" s="1"/>
  <c r="J7" i="9" s="1"/>
  <c r="J8" i="9" s="1"/>
  <c r="J9" i="9" s="1"/>
  <c r="J10" i="9" s="1"/>
  <c r="J11" i="9" s="1"/>
  <c r="J12" i="9" s="1"/>
  <c r="J13" i="9" s="1"/>
  <c r="J14" i="9" s="1"/>
  <c r="J15" i="9" s="1"/>
  <c r="J16" i="9" s="1"/>
  <c r="J17" i="9" s="1"/>
  <c r="J18" i="9" s="1"/>
  <c r="J19" i="9" s="1"/>
  <c r="J20" i="9" s="1"/>
  <c r="J21" i="9" s="1"/>
  <c r="J22" i="9" s="1"/>
  <c r="J23" i="9" s="1"/>
  <c r="J24" i="9" s="1"/>
  <c r="J25" i="9" s="1"/>
  <c r="J26" i="9" s="1"/>
  <c r="J27" i="9" s="1"/>
  <c r="J28" i="9" s="1"/>
  <c r="J29" i="9" s="1"/>
  <c r="J30" i="9" s="1"/>
  <c r="J31" i="9" s="1"/>
  <c r="J32" i="9" s="1"/>
  <c r="J33" i="9" s="1"/>
  <c r="J34" i="9" s="1"/>
  <c r="J35" i="9" s="1"/>
  <c r="J36" i="9" s="1"/>
  <c r="J37" i="9" s="1"/>
  <c r="J38" i="9" s="1"/>
  <c r="J39" i="9" s="1"/>
  <c r="J40" i="9" s="1"/>
  <c r="J41" i="9" s="1"/>
  <c r="J42" i="9" s="1"/>
  <c r="J43" i="9" s="1"/>
  <c r="J44" i="9" s="1"/>
  <c r="J45" i="9" s="1"/>
  <c r="J46" i="9" s="1"/>
  <c r="J47" i="9" s="1"/>
  <c r="J48" i="9" s="1"/>
  <c r="J49" i="9" s="1"/>
  <c r="J50" i="9" s="1"/>
  <c r="J51" i="9" s="1"/>
  <c r="J52" i="9" s="1"/>
  <c r="C3" i="9"/>
  <c r="C4" i="9" s="1"/>
  <c r="C5" i="9" s="1"/>
  <c r="C6" i="9" s="1"/>
  <c r="C7" i="9" s="1"/>
  <c r="C8" i="9" s="1"/>
  <c r="C9" i="9" s="1"/>
  <c r="C10" i="9" s="1"/>
  <c r="C11" i="9" s="1"/>
  <c r="C12" i="9" s="1"/>
  <c r="C13" i="9" s="1"/>
  <c r="C14" i="9" s="1"/>
  <c r="C15" i="9" s="1"/>
  <c r="C16" i="9" s="1"/>
  <c r="C17" i="9" s="1"/>
  <c r="C18" i="9" s="1"/>
  <c r="C19" i="9" s="1"/>
  <c r="C20" i="9" s="1"/>
  <c r="C21" i="9" s="1"/>
  <c r="C22" i="9" s="1"/>
  <c r="C23" i="9" s="1"/>
  <c r="C24" i="9" s="1"/>
  <c r="C25" i="9" s="1"/>
  <c r="C26" i="9" s="1"/>
  <c r="C27" i="9" s="1"/>
  <c r="C28" i="9" s="1"/>
  <c r="C29" i="9"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D4" i="9"/>
  <c r="AD8" i="9" s="1"/>
  <c r="W4" i="9"/>
  <c r="W6" i="9" s="1"/>
  <c r="W3" i="9"/>
  <c r="AD3" i="9"/>
  <c r="P4" i="9"/>
  <c r="P6" i="9" s="1"/>
  <c r="P7" i="9" s="1"/>
  <c r="I4" i="9"/>
  <c r="I6" i="9" s="1"/>
  <c r="I3" i="9"/>
  <c r="B4" i="9"/>
  <c r="B6" i="9" s="1"/>
  <c r="B3" i="9"/>
  <c r="H54" i="1"/>
  <c r="H53" i="1"/>
  <c r="H64" i="1"/>
  <c r="H58" i="1"/>
  <c r="I48" i="1"/>
  <c r="I64" i="1" s="1"/>
  <c r="D6" i="7"/>
  <c r="D7" i="7"/>
  <c r="D8" i="7"/>
  <c r="D9" i="7"/>
  <c r="D5" i="7"/>
  <c r="C9" i="7"/>
  <c r="C8" i="7"/>
  <c r="E8" i="7" s="1"/>
  <c r="Y58" i="1" s="1"/>
  <c r="C7" i="7"/>
  <c r="C6" i="7"/>
  <c r="E6" i="7" s="1"/>
  <c r="Y56" i="1" s="1"/>
  <c r="Y39" i="1"/>
  <c r="Y13" i="1"/>
  <c r="Y15" i="1"/>
  <c r="H11" i="1"/>
  <c r="H10" i="1"/>
  <c r="Y40" i="1"/>
  <c r="Y38" i="1"/>
  <c r="Y37" i="1"/>
  <c r="E78" i="2"/>
  <c r="E79" i="2"/>
  <c r="E80" i="2"/>
  <c r="E81" i="2"/>
  <c r="E77" i="2"/>
  <c r="H21" i="1"/>
  <c r="H15" i="1"/>
  <c r="I5" i="1"/>
  <c r="J5" i="1" s="1"/>
  <c r="K5" i="1" s="1"/>
  <c r="L5" i="1" s="1"/>
  <c r="M5" i="1" s="1"/>
  <c r="N5" i="1" s="1"/>
  <c r="O5" i="1" s="1"/>
  <c r="P5" i="1" s="1"/>
  <c r="Q5" i="1" s="1"/>
  <c r="R5" i="1" s="1"/>
  <c r="S5" i="1" s="1"/>
  <c r="S6" i="1" s="1"/>
  <c r="I7" i="9" l="1"/>
  <c r="K2" i="9" s="1"/>
  <c r="W7" i="9"/>
  <c r="Y2" i="9" s="1"/>
  <c r="AD6" i="9"/>
  <c r="AD7" i="9" s="1"/>
  <c r="AF2" i="9" s="1"/>
  <c r="AD9" i="9"/>
  <c r="AF3" i="9" s="1"/>
  <c r="W8" i="9"/>
  <c r="W9" i="9" s="1"/>
  <c r="Y3" i="9" s="1"/>
  <c r="P8" i="9"/>
  <c r="P9" i="9" s="1"/>
  <c r="R2" i="9"/>
  <c r="Y7" i="1"/>
  <c r="B9" i="9"/>
  <c r="I8" i="9"/>
  <c r="B8" i="9"/>
  <c r="AD5" i="9"/>
  <c r="W5" i="9"/>
  <c r="I5" i="9"/>
  <c r="B5" i="9"/>
  <c r="P5" i="9"/>
  <c r="E7" i="7"/>
  <c r="Y57" i="1" s="1"/>
  <c r="I53" i="1"/>
  <c r="I54" i="1"/>
  <c r="H56" i="1"/>
  <c r="H60" i="1" s="1"/>
  <c r="H62" i="1" s="1"/>
  <c r="J48" i="1"/>
  <c r="I58" i="1"/>
  <c r="E9" i="7"/>
  <c r="Y59" i="1" s="1"/>
  <c r="Y60" i="1" s="1"/>
  <c r="J11" i="1"/>
  <c r="I10" i="1"/>
  <c r="O6" i="1"/>
  <c r="K6" i="1"/>
  <c r="L11" i="1"/>
  <c r="K11" i="1"/>
  <c r="J10" i="1"/>
  <c r="R6" i="1"/>
  <c r="N6" i="1"/>
  <c r="J6" i="1"/>
  <c r="N11" i="1"/>
  <c r="Q6" i="1"/>
  <c r="M6" i="1"/>
  <c r="P6" i="1"/>
  <c r="L6" i="1"/>
  <c r="I11" i="1"/>
  <c r="Q10" i="1"/>
  <c r="Q11" i="1"/>
  <c r="P10" i="1"/>
  <c r="P11" i="1"/>
  <c r="M10" i="1"/>
  <c r="M11" i="1"/>
  <c r="S10" i="1"/>
  <c r="O10" i="1"/>
  <c r="S11" i="1"/>
  <c r="O11" i="1"/>
  <c r="R10" i="1"/>
  <c r="N10" i="1"/>
  <c r="R11" i="1"/>
  <c r="L10" i="1"/>
  <c r="K10" i="1"/>
  <c r="I15" i="1"/>
  <c r="I21" i="1"/>
  <c r="R21" i="1"/>
  <c r="N21" i="1"/>
  <c r="J21" i="1"/>
  <c r="S21" i="1"/>
  <c r="O21" i="1"/>
  <c r="K21" i="1"/>
  <c r="Q21" i="1"/>
  <c r="M21" i="1"/>
  <c r="P21" i="1"/>
  <c r="L21" i="1"/>
  <c r="H13" i="1"/>
  <c r="H17" i="1" s="1"/>
  <c r="R3" i="9" l="1"/>
  <c r="Y4" i="9"/>
  <c r="Z3" i="9"/>
  <c r="AA3" i="9" s="1"/>
  <c r="Z2" i="9"/>
  <c r="AA2" i="9" s="1"/>
  <c r="AF4" i="9"/>
  <c r="AG3" i="9" s="1" a="1"/>
  <c r="AG3" i="9" s="1"/>
  <c r="AH3" i="9" s="1"/>
  <c r="AG2" i="9" a="1"/>
  <c r="AG2" i="9" s="1"/>
  <c r="AH2" i="9" s="1"/>
  <c r="R4" i="9"/>
  <c r="R5" i="9" s="1"/>
  <c r="S4" i="9" s="1"/>
  <c r="T4" i="9" s="1"/>
  <c r="S2" i="9"/>
  <c r="T2" i="9" s="1"/>
  <c r="I9" i="9"/>
  <c r="K3" i="9" s="1"/>
  <c r="L2" i="9" s="1"/>
  <c r="M2" i="9" s="1"/>
  <c r="B10" i="9"/>
  <c r="D2" i="9"/>
  <c r="I56" i="1"/>
  <c r="J49" i="1"/>
  <c r="J53" i="1"/>
  <c r="J54" i="1"/>
  <c r="I60" i="1"/>
  <c r="I62" i="1" s="1"/>
  <c r="I63" i="1" s="1"/>
  <c r="K48" i="1"/>
  <c r="J64" i="1"/>
  <c r="H63" i="1"/>
  <c r="I13" i="1"/>
  <c r="H19" i="1"/>
  <c r="H20" i="1" s="1"/>
  <c r="S3" i="9" l="1"/>
  <c r="T3" i="9" s="1"/>
  <c r="AF5" i="9"/>
  <c r="AG4" i="9" a="1"/>
  <c r="AG4" i="9" s="1"/>
  <c r="AH4" i="9" s="1"/>
  <c r="Y5" i="9"/>
  <c r="Z4" i="9"/>
  <c r="AA4" i="9" s="1"/>
  <c r="D3" i="9"/>
  <c r="R6" i="9"/>
  <c r="S5" i="9" s="1"/>
  <c r="T5" i="9" s="1"/>
  <c r="K4" i="9"/>
  <c r="D4" i="9"/>
  <c r="E3" i="9" s="1"/>
  <c r="F3" i="9" s="1"/>
  <c r="E2" i="9"/>
  <c r="F2" i="9" s="1"/>
  <c r="K53" i="1"/>
  <c r="K49" i="1"/>
  <c r="K54" i="1"/>
  <c r="J56" i="1"/>
  <c r="L48" i="1"/>
  <c r="K64" i="1"/>
  <c r="I17" i="1"/>
  <c r="I19" i="1" s="1"/>
  <c r="I20" i="1" s="1"/>
  <c r="J13" i="1"/>
  <c r="Y6" i="9" l="1"/>
  <c r="Z5" i="9"/>
  <c r="AA5" i="9" s="1"/>
  <c r="AF6" i="9"/>
  <c r="AG5" i="9" a="1"/>
  <c r="AG5" i="9" s="1"/>
  <c r="AH5" i="9" s="1"/>
  <c r="R7" i="9"/>
  <c r="S6" i="9"/>
  <c r="T6" i="9" s="1"/>
  <c r="K5" i="9"/>
  <c r="L4" i="9" s="1"/>
  <c r="M4" i="9" s="1"/>
  <c r="L3" i="9"/>
  <c r="M3" i="9" s="1"/>
  <c r="D5" i="9"/>
  <c r="L53" i="1"/>
  <c r="L49" i="1"/>
  <c r="L54" i="1"/>
  <c r="L64" i="1"/>
  <c r="M48" i="1"/>
  <c r="K56" i="1"/>
  <c r="K13" i="1"/>
  <c r="AF7" i="9" l="1"/>
  <c r="AG6" i="9" a="1"/>
  <c r="AG6" i="9" s="1"/>
  <c r="AH6" i="9" s="1"/>
  <c r="Y7" i="9"/>
  <c r="Z6" i="9" s="1"/>
  <c r="AA6" i="9" s="1"/>
  <c r="R8" i="9"/>
  <c r="S7" i="9"/>
  <c r="T7" i="9" s="1"/>
  <c r="K6" i="9"/>
  <c r="L5" i="9" s="1"/>
  <c r="M5" i="9" s="1"/>
  <c r="D6" i="9"/>
  <c r="E4" i="9"/>
  <c r="F4" i="9" s="1"/>
  <c r="M53" i="1"/>
  <c r="M49" i="1"/>
  <c r="M54" i="1"/>
  <c r="L56" i="1"/>
  <c r="M64" i="1"/>
  <c r="N48" i="1"/>
  <c r="L13" i="1"/>
  <c r="Y8" i="9" l="1"/>
  <c r="Z7" i="9"/>
  <c r="AA7" i="9" s="1"/>
  <c r="AF8" i="9"/>
  <c r="AG7" i="9" a="1"/>
  <c r="AG7" i="9" s="1"/>
  <c r="AH7" i="9" s="1"/>
  <c r="R9" i="9"/>
  <c r="S8" i="9"/>
  <c r="T8" i="9" s="1"/>
  <c r="K7" i="9"/>
  <c r="L6" i="9" s="1"/>
  <c r="M6" i="9" s="1"/>
  <c r="D7" i="9"/>
  <c r="E6" i="9" s="1"/>
  <c r="F6" i="9" s="1"/>
  <c r="E5" i="9"/>
  <c r="F5" i="9" s="1"/>
  <c r="N53" i="1"/>
  <c r="N49" i="1"/>
  <c r="N54" i="1"/>
  <c r="O48" i="1"/>
  <c r="N64" i="1"/>
  <c r="M56" i="1"/>
  <c r="M13" i="1"/>
  <c r="AF9" i="9" l="1"/>
  <c r="AG8" i="9" s="1" a="1"/>
  <c r="AG8" i="9" s="1"/>
  <c r="AH8" i="9" s="1"/>
  <c r="Y9" i="9"/>
  <c r="Z8" i="9"/>
  <c r="AA8" i="9" s="1"/>
  <c r="R10" i="9"/>
  <c r="S9" i="9"/>
  <c r="T9" i="9" s="1"/>
  <c r="K8" i="9"/>
  <c r="L7" i="9"/>
  <c r="M7" i="9" s="1"/>
  <c r="D8" i="9"/>
  <c r="E7" i="9" s="1"/>
  <c r="F7" i="9" s="1"/>
  <c r="N56" i="1"/>
  <c r="O53" i="1"/>
  <c r="O49" i="1"/>
  <c r="O54" i="1"/>
  <c r="P48" i="1"/>
  <c r="O64" i="1"/>
  <c r="N13" i="1"/>
  <c r="Y10" i="9" l="1"/>
  <c r="Z9" i="9"/>
  <c r="AA9" i="9" s="1"/>
  <c r="AF10" i="9"/>
  <c r="AG9" i="9" a="1"/>
  <c r="AG9" i="9" s="1"/>
  <c r="AH9" i="9" s="1"/>
  <c r="R11" i="9"/>
  <c r="S10" i="9"/>
  <c r="T10" i="9" s="1"/>
  <c r="K9" i="9"/>
  <c r="L8" i="9" s="1"/>
  <c r="M8" i="9" s="1"/>
  <c r="D9" i="9"/>
  <c r="E8" i="9" s="1"/>
  <c r="F8" i="9" s="1"/>
  <c r="P53" i="1"/>
  <c r="P49" i="1"/>
  <c r="P54" i="1"/>
  <c r="Q48" i="1"/>
  <c r="P64" i="1"/>
  <c r="O56" i="1"/>
  <c r="O13" i="1"/>
  <c r="AF11" i="9" l="1"/>
  <c r="AG10" i="9" a="1"/>
  <c r="AG10" i="9" s="1"/>
  <c r="AH10" i="9" s="1"/>
  <c r="Y11" i="9"/>
  <c r="Z10" i="9"/>
  <c r="AA10" i="9" s="1"/>
  <c r="R12" i="9"/>
  <c r="S11" i="9"/>
  <c r="T11" i="9" s="1"/>
  <c r="K10" i="9"/>
  <c r="L9" i="9"/>
  <c r="M9" i="9" s="1"/>
  <c r="D10" i="9"/>
  <c r="E9" i="9" s="1"/>
  <c r="F9" i="9" s="1"/>
  <c r="Q54" i="1"/>
  <c r="Q53" i="1"/>
  <c r="Q49" i="1"/>
  <c r="Q64" i="1"/>
  <c r="R48" i="1"/>
  <c r="P56" i="1"/>
  <c r="P13" i="1"/>
  <c r="Y12" i="9" l="1"/>
  <c r="Z11" i="9"/>
  <c r="AA11" i="9" s="1"/>
  <c r="AF12" i="9"/>
  <c r="AG11" i="9" a="1"/>
  <c r="AG11" i="9" s="1"/>
  <c r="AH11" i="9" s="1"/>
  <c r="R13" i="9"/>
  <c r="S12" i="9" s="1"/>
  <c r="T12" i="9" s="1"/>
  <c r="K11" i="9"/>
  <c r="L10" i="9" s="1"/>
  <c r="M10" i="9" s="1"/>
  <c r="D11" i="9"/>
  <c r="E10" i="9" s="1"/>
  <c r="F10" i="9" s="1"/>
  <c r="R53" i="1"/>
  <c r="R49" i="1"/>
  <c r="R54" i="1"/>
  <c r="Q56" i="1"/>
  <c r="S48" i="1"/>
  <c r="R64" i="1"/>
  <c r="Q13" i="1"/>
  <c r="AF13" i="9" l="1"/>
  <c r="AG12" i="9" a="1"/>
  <c r="AG12" i="9" s="1"/>
  <c r="AH12" i="9" s="1"/>
  <c r="Y13" i="9"/>
  <c r="Z12" i="9"/>
  <c r="AA12" i="9" s="1"/>
  <c r="R14" i="9"/>
  <c r="S13" i="9"/>
  <c r="T13" i="9" s="1"/>
  <c r="K12" i="9"/>
  <c r="L11" i="9" s="1"/>
  <c r="M11" i="9" s="1"/>
  <c r="D12" i="9"/>
  <c r="E11" i="9" s="1"/>
  <c r="F11" i="9" s="1"/>
  <c r="R56" i="1"/>
  <c r="S53" i="1"/>
  <c r="S49" i="1"/>
  <c r="S54" i="1"/>
  <c r="T48" i="1"/>
  <c r="S64" i="1"/>
  <c r="T5" i="1"/>
  <c r="R13" i="1"/>
  <c r="Y14" i="9" l="1"/>
  <c r="Z13" i="9"/>
  <c r="AA13" i="9" s="1"/>
  <c r="AF14" i="9"/>
  <c r="AG13" i="9" a="1"/>
  <c r="AG13" i="9" s="1"/>
  <c r="AH13" i="9" s="1"/>
  <c r="R15" i="9"/>
  <c r="S14" i="9" s="1"/>
  <c r="T14" i="9" s="1"/>
  <c r="K13" i="9"/>
  <c r="L12" i="9" s="1"/>
  <c r="M12" i="9" s="1"/>
  <c r="D13" i="9"/>
  <c r="E12" i="9"/>
  <c r="F12" i="9" s="1"/>
  <c r="S56" i="1"/>
  <c r="T53" i="1"/>
  <c r="T49" i="1"/>
  <c r="T54" i="1"/>
  <c r="T64" i="1"/>
  <c r="U48" i="1"/>
  <c r="T6" i="1"/>
  <c r="T10" i="1"/>
  <c r="T11" i="1"/>
  <c r="T21" i="1"/>
  <c r="U5" i="1"/>
  <c r="S13" i="1"/>
  <c r="AF15" i="9" l="1"/>
  <c r="AG14" i="9" a="1"/>
  <c r="AG14" i="9" s="1"/>
  <c r="AH14" i="9" s="1"/>
  <c r="Y15" i="9"/>
  <c r="Z14" i="9"/>
  <c r="AA14" i="9" s="1"/>
  <c r="R16" i="9"/>
  <c r="S15" i="9" s="1"/>
  <c r="T15" i="9" s="1"/>
  <c r="K14" i="9"/>
  <c r="L13" i="9" s="1"/>
  <c r="M13" i="9" s="1"/>
  <c r="D14" i="9"/>
  <c r="E13" i="9" s="1"/>
  <c r="F13" i="9" s="1"/>
  <c r="U53" i="1"/>
  <c r="U49" i="1"/>
  <c r="U54" i="1"/>
  <c r="T56" i="1"/>
  <c r="U64" i="1"/>
  <c r="V48" i="1"/>
  <c r="U6" i="1"/>
  <c r="U10" i="1"/>
  <c r="U11" i="1"/>
  <c r="V5" i="1"/>
  <c r="U21" i="1"/>
  <c r="T13" i="1"/>
  <c r="Y16" i="9" l="1"/>
  <c r="Z15" i="9"/>
  <c r="AA15" i="9" s="1"/>
  <c r="AF16" i="9"/>
  <c r="AG15" i="9" a="1"/>
  <c r="AG15" i="9" s="1"/>
  <c r="AH15" i="9" s="1"/>
  <c r="R17" i="9"/>
  <c r="S16" i="9"/>
  <c r="T16" i="9" s="1"/>
  <c r="K15" i="9"/>
  <c r="L14" i="9"/>
  <c r="M14" i="9" s="1"/>
  <c r="D15" i="9"/>
  <c r="E14" i="9" s="1"/>
  <c r="F14" i="9" s="1"/>
  <c r="V54" i="1"/>
  <c r="V53" i="1"/>
  <c r="V49" i="1"/>
  <c r="V64" i="1"/>
  <c r="U56" i="1"/>
  <c r="V11" i="1"/>
  <c r="V10" i="1"/>
  <c r="V6" i="1"/>
  <c r="U13" i="1"/>
  <c r="V21" i="1"/>
  <c r="V56" i="1" l="1"/>
  <c r="AF17" i="9"/>
  <c r="AG16" i="9" a="1"/>
  <c r="AG16" i="9" s="1"/>
  <c r="AH16" i="9" s="1"/>
  <c r="Y17" i="9"/>
  <c r="Z16" i="9"/>
  <c r="AA16" i="9" s="1"/>
  <c r="R18" i="9"/>
  <c r="S17" i="9"/>
  <c r="T17" i="9" s="1"/>
  <c r="K16" i="9"/>
  <c r="L15" i="9" s="1"/>
  <c r="M15" i="9" s="1"/>
  <c r="D16" i="9"/>
  <c r="E15" i="9" s="1"/>
  <c r="F15" i="9" s="1"/>
  <c r="V66" i="1"/>
  <c r="V68" i="1" s="1"/>
  <c r="V13" i="1"/>
  <c r="Y18" i="9" l="1"/>
  <c r="Z17" i="9"/>
  <c r="AA17" i="9" s="1"/>
  <c r="AF18" i="9"/>
  <c r="AG17" i="9" a="1"/>
  <c r="AG17" i="9" s="1"/>
  <c r="AH17" i="9" s="1"/>
  <c r="R19" i="9"/>
  <c r="S18" i="9"/>
  <c r="T18" i="9" s="1"/>
  <c r="K17" i="9"/>
  <c r="L16" i="9"/>
  <c r="M16" i="9" s="1"/>
  <c r="D17" i="9"/>
  <c r="E16" i="9"/>
  <c r="F16" i="9" s="1"/>
  <c r="V23" i="1"/>
  <c r="V25" i="1" s="1"/>
  <c r="AF19" i="9" l="1"/>
  <c r="AG18" i="9" a="1"/>
  <c r="AG18" i="9" s="1"/>
  <c r="AH18" i="9" s="1"/>
  <c r="Y19" i="9"/>
  <c r="Z18" i="9"/>
  <c r="AA18" i="9" s="1"/>
  <c r="R20" i="9"/>
  <c r="S19" i="9"/>
  <c r="T19" i="9" s="1"/>
  <c r="K18" i="9"/>
  <c r="L17" i="9"/>
  <c r="M17" i="9" s="1"/>
  <c r="D18" i="9"/>
  <c r="E17" i="9"/>
  <c r="F17" i="9" s="1"/>
  <c r="Y20" i="9" l="1"/>
  <c r="Z19" i="9"/>
  <c r="AA19" i="9" s="1"/>
  <c r="AF20" i="9"/>
  <c r="AG19" i="9" a="1"/>
  <c r="AG19" i="9" s="1"/>
  <c r="AH19" i="9" s="1"/>
  <c r="R21" i="9"/>
  <c r="S20" i="9"/>
  <c r="T20" i="9" s="1"/>
  <c r="K19" i="9"/>
  <c r="L18" i="9"/>
  <c r="M18" i="9" s="1"/>
  <c r="D19" i="9"/>
  <c r="E18" i="9"/>
  <c r="F18" i="9" s="1"/>
  <c r="AF21" i="9" l="1"/>
  <c r="AG20" i="9" a="1"/>
  <c r="AG20" i="9" s="1"/>
  <c r="AH20" i="9" s="1"/>
  <c r="Y21" i="9"/>
  <c r="Z20" i="9"/>
  <c r="AA20" i="9" s="1"/>
  <c r="R22" i="9"/>
  <c r="S21" i="9"/>
  <c r="T21" i="9" s="1"/>
  <c r="K20" i="9"/>
  <c r="L19" i="9" s="1"/>
  <c r="M19" i="9" s="1"/>
  <c r="D20" i="9"/>
  <c r="E19" i="9" s="1"/>
  <c r="F19" i="9" s="1"/>
  <c r="Y22" i="9" l="1"/>
  <c r="Z21" i="9"/>
  <c r="AA21" i="9" s="1"/>
  <c r="AF22" i="9"/>
  <c r="AG21" i="9" a="1"/>
  <c r="AG21" i="9" s="1"/>
  <c r="AH21" i="9" s="1"/>
  <c r="R23" i="9"/>
  <c r="S22" i="9"/>
  <c r="T22" i="9" s="1"/>
  <c r="K21" i="9"/>
  <c r="L20" i="9"/>
  <c r="M20" i="9" s="1"/>
  <c r="D21" i="9"/>
  <c r="E20" i="9"/>
  <c r="F20" i="9" s="1"/>
  <c r="AF23" i="9" l="1"/>
  <c r="AG22" i="9" a="1"/>
  <c r="AG22" i="9" s="1"/>
  <c r="AH22" i="9" s="1"/>
  <c r="Y23" i="9"/>
  <c r="Z22" i="9"/>
  <c r="AA22" i="9" s="1"/>
  <c r="R24" i="9"/>
  <c r="S23" i="9"/>
  <c r="T23" i="9" s="1"/>
  <c r="K22" i="9"/>
  <c r="L21" i="9"/>
  <c r="M21" i="9" s="1"/>
  <c r="D22" i="9"/>
  <c r="E21" i="9" s="1"/>
  <c r="F21" i="9" s="1"/>
  <c r="Y24" i="9" l="1"/>
  <c r="Z23" i="9"/>
  <c r="AA23" i="9" s="1"/>
  <c r="AF24" i="9"/>
  <c r="AG23" i="9" a="1"/>
  <c r="AG23" i="9" s="1"/>
  <c r="AH23" i="9" s="1"/>
  <c r="R25" i="9"/>
  <c r="S24" i="9"/>
  <c r="T24" i="9" s="1"/>
  <c r="K23" i="9"/>
  <c r="L22" i="9" s="1"/>
  <c r="M22" i="9" s="1"/>
  <c r="D23" i="9"/>
  <c r="E22" i="9" s="1"/>
  <c r="F22" i="9" s="1"/>
  <c r="AF25" i="9" l="1"/>
  <c r="AG24" i="9" a="1"/>
  <c r="AG24" i="9" s="1"/>
  <c r="AH24" i="9" s="1"/>
  <c r="Y25" i="9"/>
  <c r="Z24" i="9"/>
  <c r="AA24" i="9" s="1"/>
  <c r="R26" i="9"/>
  <c r="S25" i="9"/>
  <c r="T25" i="9" s="1"/>
  <c r="K24" i="9"/>
  <c r="L23" i="9"/>
  <c r="M23" i="9" s="1"/>
  <c r="D24" i="9"/>
  <c r="E23" i="9" s="1"/>
  <c r="F23" i="9" s="1"/>
  <c r="Y26" i="9" l="1"/>
  <c r="Z25" i="9"/>
  <c r="AA25" i="9" s="1"/>
  <c r="AF26" i="9"/>
  <c r="AG25" i="9" a="1"/>
  <c r="AG25" i="9" s="1"/>
  <c r="AH25" i="9" s="1"/>
  <c r="R27" i="9"/>
  <c r="S26" i="9"/>
  <c r="T26" i="9" s="1"/>
  <c r="K25" i="9"/>
  <c r="L24" i="9"/>
  <c r="M24" i="9" s="1"/>
  <c r="D25" i="9"/>
  <c r="E24" i="9" s="1"/>
  <c r="F24" i="9" s="1"/>
  <c r="AF27" i="9" l="1"/>
  <c r="AG26" i="9" a="1"/>
  <c r="AG26" i="9" s="1"/>
  <c r="AH26" i="9" s="1"/>
  <c r="Y27" i="9"/>
  <c r="Z26" i="9"/>
  <c r="AA26" i="9" s="1"/>
  <c r="R28" i="9"/>
  <c r="S27" i="9"/>
  <c r="T27" i="9" s="1"/>
  <c r="K26" i="9"/>
  <c r="L25" i="9" s="1"/>
  <c r="M25" i="9" s="1"/>
  <c r="D26" i="9"/>
  <c r="E25" i="9" s="1"/>
  <c r="F25" i="9" s="1"/>
  <c r="Y28" i="9" l="1"/>
  <c r="Z27" i="9"/>
  <c r="AA27" i="9" s="1"/>
  <c r="AF28" i="9"/>
  <c r="AG27" i="9" a="1"/>
  <c r="AG27" i="9" s="1"/>
  <c r="AH27" i="9" s="1"/>
  <c r="R29" i="9"/>
  <c r="S28" i="9"/>
  <c r="T28" i="9" s="1"/>
  <c r="K27" i="9"/>
  <c r="D27" i="9"/>
  <c r="E26" i="9" s="1"/>
  <c r="F26" i="9" s="1"/>
  <c r="AF29" i="9" l="1"/>
  <c r="AG28" i="9" a="1"/>
  <c r="AG28" i="9" s="1"/>
  <c r="AH28" i="9" s="1"/>
  <c r="Y29" i="9"/>
  <c r="Z28" i="9"/>
  <c r="AA28" i="9" s="1"/>
  <c r="R30" i="9"/>
  <c r="S29" i="9"/>
  <c r="T29" i="9" s="1"/>
  <c r="K28" i="9"/>
  <c r="L27" i="9"/>
  <c r="M27" i="9" s="1"/>
  <c r="L26" i="9"/>
  <c r="M26" i="9" s="1"/>
  <c r="D28" i="9"/>
  <c r="E27" i="9" s="1"/>
  <c r="F27" i="9" s="1"/>
  <c r="Y30" i="9" l="1"/>
  <c r="Z29" i="9"/>
  <c r="AA29" i="9" s="1"/>
  <c r="AF30" i="9"/>
  <c r="AG29" i="9" a="1"/>
  <c r="AG29" i="9" s="1"/>
  <c r="AH29" i="9" s="1"/>
  <c r="R31" i="9"/>
  <c r="S30" i="9"/>
  <c r="T30" i="9" s="1"/>
  <c r="K29" i="9"/>
  <c r="L28" i="9" s="1"/>
  <c r="M28" i="9" s="1"/>
  <c r="D29" i="9"/>
  <c r="E28" i="9"/>
  <c r="F28" i="9" s="1"/>
  <c r="AF31" i="9" l="1"/>
  <c r="AG30" i="9" a="1"/>
  <c r="AG30" i="9" s="1"/>
  <c r="AH30" i="9" s="1"/>
  <c r="Y31" i="9"/>
  <c r="Z30" i="9"/>
  <c r="AA30" i="9" s="1"/>
  <c r="R32" i="9"/>
  <c r="S31" i="9"/>
  <c r="T31" i="9" s="1"/>
  <c r="K30" i="9"/>
  <c r="L29" i="9" s="1"/>
  <c r="M29" i="9" s="1"/>
  <c r="D30" i="9"/>
  <c r="E29" i="9" s="1"/>
  <c r="F29" i="9" s="1"/>
  <c r="Y32" i="9" l="1"/>
  <c r="Z31" i="9"/>
  <c r="AA31" i="9" s="1"/>
  <c r="AF32" i="9"/>
  <c r="AG31" i="9" a="1"/>
  <c r="AG31" i="9" s="1"/>
  <c r="AH31" i="9" s="1"/>
  <c r="R33" i="9"/>
  <c r="S32" i="9"/>
  <c r="T32" i="9" s="1"/>
  <c r="K31" i="9"/>
  <c r="L30" i="9"/>
  <c r="M30" i="9" s="1"/>
  <c r="D31" i="9"/>
  <c r="AF33" i="9" l="1"/>
  <c r="AG32" i="9" a="1"/>
  <c r="AG32" i="9" s="1"/>
  <c r="AH32" i="9" s="1"/>
  <c r="Y33" i="9"/>
  <c r="Z32" i="9"/>
  <c r="AA32" i="9" s="1"/>
  <c r="R34" i="9"/>
  <c r="S33" i="9"/>
  <c r="T33" i="9" s="1"/>
  <c r="K32" i="9"/>
  <c r="L31" i="9" s="1"/>
  <c r="M31" i="9" s="1"/>
  <c r="D32" i="9"/>
  <c r="E31" i="9" s="1"/>
  <c r="F31" i="9" s="1"/>
  <c r="E30" i="9"/>
  <c r="F30" i="9" s="1"/>
  <c r="Y34" i="9" l="1"/>
  <c r="Z33" i="9"/>
  <c r="AA33" i="9" s="1"/>
  <c r="AF34" i="9"/>
  <c r="AG33" i="9" a="1"/>
  <c r="AG33" i="9" s="1"/>
  <c r="AH33" i="9" s="1"/>
  <c r="R35" i="9"/>
  <c r="S34" i="9"/>
  <c r="T34" i="9" s="1"/>
  <c r="K33" i="9"/>
  <c r="L32" i="9" s="1"/>
  <c r="M32" i="9" s="1"/>
  <c r="D33" i="9"/>
  <c r="E32" i="9" s="1"/>
  <c r="F32" i="9" s="1"/>
  <c r="AF35" i="9" l="1"/>
  <c r="AG34" i="9" a="1"/>
  <c r="AG34" i="9" s="1"/>
  <c r="AH34" i="9" s="1"/>
  <c r="Y35" i="9"/>
  <c r="R36" i="9"/>
  <c r="S35" i="9"/>
  <c r="T35" i="9" s="1"/>
  <c r="K34" i="9"/>
  <c r="L33" i="9"/>
  <c r="M33" i="9" s="1"/>
  <c r="D34" i="9"/>
  <c r="E33" i="9"/>
  <c r="F33" i="9" s="1"/>
  <c r="Y36" i="9" l="1"/>
  <c r="Z35" i="9"/>
  <c r="AA35" i="9" s="1"/>
  <c r="Z34" i="9"/>
  <c r="AA34" i="9" s="1"/>
  <c r="AF36" i="9"/>
  <c r="AG35" i="9" s="1" a="1"/>
  <c r="AG35" i="9" s="1"/>
  <c r="AH35" i="9" s="1"/>
  <c r="R37" i="9"/>
  <c r="S36" i="9"/>
  <c r="T36" i="9" s="1"/>
  <c r="K35" i="9"/>
  <c r="L34" i="9"/>
  <c r="M34" i="9" s="1"/>
  <c r="D35" i="9"/>
  <c r="E34" i="9" s="1"/>
  <c r="F34" i="9" s="1"/>
  <c r="AF37" i="9" l="1"/>
  <c r="AG36" i="9" a="1"/>
  <c r="AG36" i="9" s="1"/>
  <c r="AH36" i="9" s="1"/>
  <c r="Y37" i="9"/>
  <c r="Z36" i="9"/>
  <c r="AA36" i="9" s="1"/>
  <c r="R38" i="9"/>
  <c r="S37" i="9" s="1"/>
  <c r="T37" i="9" s="1"/>
  <c r="K36" i="9"/>
  <c r="L35" i="9"/>
  <c r="M35" i="9" s="1"/>
  <c r="D36" i="9"/>
  <c r="E35" i="9" s="1"/>
  <c r="F35" i="9" s="1"/>
  <c r="Y38" i="9" l="1"/>
  <c r="Z37" i="9"/>
  <c r="AA37" i="9" s="1"/>
  <c r="AF38" i="9"/>
  <c r="AG37" i="9" a="1"/>
  <c r="AG37" i="9" s="1"/>
  <c r="AH37" i="9" s="1"/>
  <c r="R39" i="9"/>
  <c r="S38" i="9"/>
  <c r="T38" i="9" s="1"/>
  <c r="K37" i="9"/>
  <c r="L36" i="9" s="1"/>
  <c r="M36" i="9" s="1"/>
  <c r="D37" i="9"/>
  <c r="E36" i="9" s="1"/>
  <c r="F36" i="9" s="1"/>
  <c r="Y19" i="1"/>
  <c r="K15" i="1" s="1"/>
  <c r="K17" i="1" s="1"/>
  <c r="P15" i="1"/>
  <c r="P17" i="1" s="1"/>
  <c r="C5" i="7"/>
  <c r="E5" i="7" s="1"/>
  <c r="Y55" i="1" s="1"/>
  <c r="Y36" i="1"/>
  <c r="AF39" i="9" l="1"/>
  <c r="AG38" i="9" a="1"/>
  <c r="AG38" i="9" s="1"/>
  <c r="AH38" i="9" s="1"/>
  <c r="Y39" i="9"/>
  <c r="Z38" i="9"/>
  <c r="AA38" i="9" s="1"/>
  <c r="O15" i="1"/>
  <c r="O17" i="1" s="1"/>
  <c r="O19" i="1" s="1"/>
  <c r="O23" i="1" s="1"/>
  <c r="O25" i="1" s="1"/>
  <c r="R40" i="9"/>
  <c r="S39" i="9"/>
  <c r="T39" i="9" s="1"/>
  <c r="K38" i="9"/>
  <c r="L37" i="9" s="1"/>
  <c r="M37" i="9" s="1"/>
  <c r="D38" i="9"/>
  <c r="E37" i="9" s="1"/>
  <c r="F37" i="9" s="1"/>
  <c r="H49" i="1"/>
  <c r="H66" i="1" s="1"/>
  <c r="I49" i="1"/>
  <c r="I66" i="1" s="1"/>
  <c r="I68" i="1" s="1"/>
  <c r="H6" i="1"/>
  <c r="H23" i="1" s="1"/>
  <c r="H24" i="1" s="1"/>
  <c r="R15" i="1"/>
  <c r="R17" i="1" s="1"/>
  <c r="R19" i="1" s="1"/>
  <c r="R23" i="1" s="1"/>
  <c r="R25" i="1" s="1"/>
  <c r="J58" i="1"/>
  <c r="J50" i="1" s="1"/>
  <c r="K58" i="1"/>
  <c r="L58" i="1"/>
  <c r="M58" i="1"/>
  <c r="N58" i="1"/>
  <c r="N60" i="1" s="1"/>
  <c r="O58" i="1"/>
  <c r="P58" i="1"/>
  <c r="Q58" i="1"/>
  <c r="R58" i="1"/>
  <c r="R60" i="1" s="1"/>
  <c r="R62" i="1" s="1"/>
  <c r="S58" i="1"/>
  <c r="T58" i="1"/>
  <c r="U58" i="1"/>
  <c r="V58" i="1"/>
  <c r="K19" i="1"/>
  <c r="K23" i="1" s="1"/>
  <c r="K25" i="1" s="1"/>
  <c r="P19" i="1"/>
  <c r="P23" i="1" s="1"/>
  <c r="P25" i="1" s="1"/>
  <c r="I6" i="1"/>
  <c r="I23" i="1" s="1"/>
  <c r="Q15" i="1"/>
  <c r="Q17" i="1" s="1"/>
  <c r="M15" i="1"/>
  <c r="M17" i="1" s="1"/>
  <c r="J15" i="1"/>
  <c r="J7" i="1" s="1"/>
  <c r="K7" i="1" s="1"/>
  <c r="L15" i="1"/>
  <c r="L17" i="1" s="1"/>
  <c r="U15" i="1"/>
  <c r="U17" i="1" s="1"/>
  <c r="S15" i="1"/>
  <c r="S17" i="1" s="1"/>
  <c r="N15" i="1"/>
  <c r="N17" i="1" s="1"/>
  <c r="V15" i="1"/>
  <c r="V17" i="1" s="1"/>
  <c r="V20" i="1" s="1"/>
  <c r="T15" i="1"/>
  <c r="T17" i="1" s="1"/>
  <c r="Y40" i="9" l="1"/>
  <c r="Z39" i="9"/>
  <c r="AA39" i="9" s="1"/>
  <c r="AF40" i="9"/>
  <c r="AG39" i="9" a="1"/>
  <c r="AG39" i="9" s="1"/>
  <c r="AH39" i="9" s="1"/>
  <c r="H25" i="1"/>
  <c r="H26" i="1" s="1"/>
  <c r="R41" i="9"/>
  <c r="S40" i="9"/>
  <c r="T40" i="9" s="1"/>
  <c r="K39" i="9"/>
  <c r="L38" i="9" s="1"/>
  <c r="M38" i="9" s="1"/>
  <c r="D39" i="9"/>
  <c r="E38" i="9" s="1"/>
  <c r="F38" i="9" s="1"/>
  <c r="H68" i="1"/>
  <c r="H69" i="1" s="1"/>
  <c r="H67" i="1"/>
  <c r="I67" i="1"/>
  <c r="U60" i="1"/>
  <c r="U62" i="1" s="1"/>
  <c r="Q60" i="1"/>
  <c r="M60" i="1"/>
  <c r="T60" i="1"/>
  <c r="P60" i="1"/>
  <c r="L60" i="1"/>
  <c r="S60" i="1"/>
  <c r="O60" i="1"/>
  <c r="K60" i="1"/>
  <c r="V60" i="1"/>
  <c r="V63" i="1" s="1"/>
  <c r="R63" i="1"/>
  <c r="R66" i="1"/>
  <c r="R68" i="1" s="1"/>
  <c r="N62" i="1"/>
  <c r="N66" i="1" s="1"/>
  <c r="N68" i="1" s="1"/>
  <c r="K50" i="1"/>
  <c r="L50" i="1" s="1"/>
  <c r="M50" i="1" s="1"/>
  <c r="N50" i="1" s="1"/>
  <c r="O50" i="1" s="1"/>
  <c r="P50" i="1" s="1"/>
  <c r="Q50" i="1" s="1"/>
  <c r="R50" i="1" s="1"/>
  <c r="S50" i="1" s="1"/>
  <c r="T50" i="1" s="1"/>
  <c r="U50" i="1" s="1"/>
  <c r="V50" i="1" s="1"/>
  <c r="J60" i="1"/>
  <c r="J62" i="1" s="1"/>
  <c r="P20" i="1"/>
  <c r="K20" i="1"/>
  <c r="O20" i="1"/>
  <c r="U19" i="1"/>
  <c r="U20" i="1" s="1"/>
  <c r="S19" i="1"/>
  <c r="S23" i="1" s="1"/>
  <c r="S25" i="1" s="1"/>
  <c r="M19" i="1"/>
  <c r="M23" i="1" s="1"/>
  <c r="M25" i="1" s="1"/>
  <c r="T19" i="1"/>
  <c r="T23" i="1" s="1"/>
  <c r="T25" i="1" s="1"/>
  <c r="L19" i="1"/>
  <c r="L23" i="1" s="1"/>
  <c r="L25" i="1" s="1"/>
  <c r="I25" i="1"/>
  <c r="I24" i="1"/>
  <c r="Q19" i="1"/>
  <c r="Q23" i="1" s="1"/>
  <c r="Q25" i="1" s="1"/>
  <c r="N19" i="1"/>
  <c r="N23" i="1" s="1"/>
  <c r="N25" i="1" s="1"/>
  <c r="L7" i="1"/>
  <c r="M7" i="1" s="1"/>
  <c r="N7" i="1" s="1"/>
  <c r="O7" i="1" s="1"/>
  <c r="P7" i="1" s="1"/>
  <c r="Q7" i="1" s="1"/>
  <c r="R7" i="1" s="1"/>
  <c r="S7" i="1" s="1"/>
  <c r="T7" i="1" s="1"/>
  <c r="U7" i="1" s="1"/>
  <c r="V7" i="1" s="1"/>
  <c r="J17" i="1"/>
  <c r="R20" i="1"/>
  <c r="AF41" i="9" l="1"/>
  <c r="AG40" i="9" s="1" a="1"/>
  <c r="AG40" i="9" s="1"/>
  <c r="AH40" i="9" s="1"/>
  <c r="Y41" i="9"/>
  <c r="Z40" i="9"/>
  <c r="AA40" i="9" s="1"/>
  <c r="I26" i="1"/>
  <c r="R42" i="9"/>
  <c r="S41" i="9"/>
  <c r="T41" i="9" s="1"/>
  <c r="K40" i="9"/>
  <c r="L39" i="9" s="1"/>
  <c r="M39" i="9" s="1"/>
  <c r="D40" i="9"/>
  <c r="E39" i="9" s="1"/>
  <c r="F39" i="9" s="1"/>
  <c r="I69" i="1"/>
  <c r="S20" i="1"/>
  <c r="N63" i="1"/>
  <c r="T20" i="1"/>
  <c r="Q20" i="1"/>
  <c r="L20" i="1"/>
  <c r="L62" i="1"/>
  <c r="L66" i="1" s="1"/>
  <c r="L68" i="1" s="1"/>
  <c r="T62" i="1"/>
  <c r="T66" i="1" s="1"/>
  <c r="T68" i="1" s="1"/>
  <c r="Q62" i="1"/>
  <c r="Q66" i="1" s="1"/>
  <c r="Q68" i="1" s="1"/>
  <c r="K62" i="1"/>
  <c r="K66" i="1" s="1"/>
  <c r="K68" i="1" s="1"/>
  <c r="S62" i="1"/>
  <c r="S66" i="1" s="1"/>
  <c r="S68" i="1" s="1"/>
  <c r="P62" i="1"/>
  <c r="P66" i="1" s="1"/>
  <c r="P68" i="1" s="1"/>
  <c r="M62" i="1"/>
  <c r="M66" i="1" s="1"/>
  <c r="M68" i="1" s="1"/>
  <c r="U63" i="1"/>
  <c r="U66" i="1"/>
  <c r="U68" i="1" s="1"/>
  <c r="J66" i="1"/>
  <c r="O62" i="1"/>
  <c r="O66" i="1" s="1"/>
  <c r="O68" i="1" s="1"/>
  <c r="N20" i="1"/>
  <c r="J19" i="1"/>
  <c r="J23" i="1" s="1"/>
  <c r="M20" i="1"/>
  <c r="U23" i="1"/>
  <c r="U25" i="1" s="1"/>
  <c r="Y42" i="9" l="1"/>
  <c r="Z41" i="9"/>
  <c r="AA41" i="9" s="1"/>
  <c r="AF42" i="9"/>
  <c r="AG41" i="9" a="1"/>
  <c r="AG41" i="9" s="1"/>
  <c r="AH41" i="9" s="1"/>
  <c r="R43" i="9"/>
  <c r="S42" i="9" s="1"/>
  <c r="T42" i="9" s="1"/>
  <c r="K41" i="9"/>
  <c r="L40" i="9"/>
  <c r="M40" i="9" s="1"/>
  <c r="D41" i="9"/>
  <c r="E40" i="9" s="1"/>
  <c r="F40" i="9" s="1"/>
  <c r="P63" i="1"/>
  <c r="J68" i="1"/>
  <c r="L67" i="1"/>
  <c r="O67" i="1"/>
  <c r="Q67" i="1"/>
  <c r="R67" i="1"/>
  <c r="P67" i="1"/>
  <c r="U67" i="1"/>
  <c r="V67" i="1"/>
  <c r="T67" i="1"/>
  <c r="J67" i="1"/>
  <c r="K67" i="1"/>
  <c r="M67" i="1"/>
  <c r="N67" i="1"/>
  <c r="S67" i="1"/>
  <c r="S63" i="1"/>
  <c r="O63" i="1"/>
  <c r="Q63" i="1"/>
  <c r="M63" i="1"/>
  <c r="T63" i="1"/>
  <c r="L63" i="1"/>
  <c r="J63" i="1"/>
  <c r="K63" i="1"/>
  <c r="H72" i="1"/>
  <c r="H71" i="1"/>
  <c r="H73" i="1" s="1"/>
  <c r="J20" i="1"/>
  <c r="J25" i="1"/>
  <c r="H29" i="1"/>
  <c r="F8" i="2" s="1"/>
  <c r="O24" i="1"/>
  <c r="M24" i="1"/>
  <c r="T24" i="1"/>
  <c r="P24" i="1"/>
  <c r="H28" i="1"/>
  <c r="S24" i="1"/>
  <c r="J24" i="1"/>
  <c r="R24" i="1"/>
  <c r="U24" i="1"/>
  <c r="N24" i="1"/>
  <c r="V24" i="1"/>
  <c r="K24" i="1"/>
  <c r="L24" i="1"/>
  <c r="Q24" i="1"/>
  <c r="AF43" i="9" l="1"/>
  <c r="AG42" i="9" s="1" a="1"/>
  <c r="AG42" i="9" s="1"/>
  <c r="AH42" i="9" s="1"/>
  <c r="Y43" i="9"/>
  <c r="Z42" i="9"/>
  <c r="AA42" i="9" s="1"/>
  <c r="R44" i="9"/>
  <c r="S43" i="9"/>
  <c r="T43" i="9" s="1"/>
  <c r="K42" i="9"/>
  <c r="L41" i="9"/>
  <c r="M41" i="9" s="1"/>
  <c r="D42" i="9"/>
  <c r="E41" i="9" s="1"/>
  <c r="F41" i="9" s="1"/>
  <c r="U69" i="1"/>
  <c r="K69" i="1"/>
  <c r="T69" i="1"/>
  <c r="V69" i="1"/>
  <c r="J69" i="1"/>
  <c r="L69" i="1"/>
  <c r="P69" i="1"/>
  <c r="Q69" i="1"/>
  <c r="S69" i="1"/>
  <c r="O69" i="1"/>
  <c r="R69" i="1"/>
  <c r="N69" i="1"/>
  <c r="M69" i="1"/>
  <c r="H31" i="1" a="1"/>
  <c r="H31" i="1" s="1"/>
  <c r="H6" i="3"/>
  <c r="H3" i="3"/>
  <c r="H5" i="3"/>
  <c r="H4" i="3"/>
  <c r="H30" i="1"/>
  <c r="H7" i="3"/>
  <c r="C8" i="2"/>
  <c r="K26" i="1"/>
  <c r="N26" i="1"/>
  <c r="Q26" i="1"/>
  <c r="M26" i="1"/>
  <c r="L26" i="1"/>
  <c r="T26" i="1"/>
  <c r="R26" i="1"/>
  <c r="J26" i="1"/>
  <c r="U26" i="1"/>
  <c r="V26" i="1"/>
  <c r="O26" i="1"/>
  <c r="P26" i="1"/>
  <c r="S26" i="1"/>
  <c r="H75" i="1" l="1" a="1"/>
  <c r="H75" i="1" s="1"/>
  <c r="Y44" i="9"/>
  <c r="Z43" i="9"/>
  <c r="AA43" i="9" s="1"/>
  <c r="AF44" i="9"/>
  <c r="AG43" i="9" a="1"/>
  <c r="AG43" i="9" s="1"/>
  <c r="AH43" i="9" s="1"/>
  <c r="R45" i="9"/>
  <c r="S44" i="9" s="1"/>
  <c r="T44" i="9" s="1"/>
  <c r="K43" i="9"/>
  <c r="L42" i="9"/>
  <c r="M42" i="9" s="1"/>
  <c r="D43" i="9"/>
  <c r="E42" i="9"/>
  <c r="F42" i="9" s="1"/>
  <c r="L8" i="2"/>
  <c r="H32" i="1" a="1"/>
  <c r="H32" i="1" s="1"/>
  <c r="T5" i="3"/>
  <c r="T4" i="3"/>
  <c r="T6" i="3"/>
  <c r="I8" i="2"/>
  <c r="T7" i="3"/>
  <c r="T3" i="3"/>
  <c r="AF45" i="9" l="1"/>
  <c r="AG44" i="9" a="1"/>
  <c r="AG44" i="9" s="1"/>
  <c r="AH44" i="9" s="1"/>
  <c r="Y45" i="9"/>
  <c r="Z44" i="9"/>
  <c r="AA44" i="9" s="1"/>
  <c r="R46" i="9"/>
  <c r="S45" i="9"/>
  <c r="T45" i="9" s="1"/>
  <c r="K44" i="9"/>
  <c r="L43" i="9" s="1"/>
  <c r="M43" i="9" s="1"/>
  <c r="D44" i="9"/>
  <c r="E43" i="9" s="1"/>
  <c r="F43" i="9" s="1"/>
  <c r="O8" i="2"/>
  <c r="Y46" i="9" l="1"/>
  <c r="Z45" i="9"/>
  <c r="AA45" i="9" s="1"/>
  <c r="AF46" i="9"/>
  <c r="AG45" i="9" a="1"/>
  <c r="AG45" i="9" s="1"/>
  <c r="AH45" i="9" s="1"/>
  <c r="R47" i="9"/>
  <c r="S46" i="9"/>
  <c r="T46" i="9" s="1"/>
  <c r="K45" i="9"/>
  <c r="L44" i="9"/>
  <c r="M44" i="9" s="1"/>
  <c r="D45" i="9"/>
  <c r="E44" i="9" s="1"/>
  <c r="F44" i="9" s="1"/>
  <c r="H74" i="1" a="1"/>
  <c r="H74" i="1" s="1"/>
  <c r="AF47" i="9" l="1"/>
  <c r="AG46" i="9" a="1"/>
  <c r="AG46" i="9" s="1"/>
  <c r="AH46" i="9" s="1"/>
  <c r="Y47" i="9"/>
  <c r="Z46" i="9"/>
  <c r="AA46" i="9" s="1"/>
  <c r="R48" i="9"/>
  <c r="S47" i="9"/>
  <c r="T47" i="9" s="1"/>
  <c r="K46" i="9"/>
  <c r="L45" i="9" s="1"/>
  <c r="M45" i="9" s="1"/>
  <c r="D46" i="9"/>
  <c r="E45" i="9" s="1"/>
  <c r="F45" i="9" s="1"/>
  <c r="Y48" i="9" l="1"/>
  <c r="Z47" i="9"/>
  <c r="AA47" i="9" s="1"/>
  <c r="AF48" i="9"/>
  <c r="AG47" i="9" a="1"/>
  <c r="AG47" i="9" s="1"/>
  <c r="AH47" i="9" s="1"/>
  <c r="R49" i="9"/>
  <c r="S48" i="9"/>
  <c r="T48" i="9" s="1"/>
  <c r="K47" i="9"/>
  <c r="L46" i="9" s="1"/>
  <c r="M46" i="9" s="1"/>
  <c r="D47" i="9"/>
  <c r="E46" i="9" s="1"/>
  <c r="F46" i="9" s="1"/>
  <c r="AF49" i="9" l="1"/>
  <c r="AG48" i="9" a="1"/>
  <c r="AG48" i="9" s="1"/>
  <c r="AH48" i="9" s="1"/>
  <c r="Y49" i="9"/>
  <c r="Z48" i="9"/>
  <c r="AA48" i="9" s="1"/>
  <c r="R50" i="9"/>
  <c r="S49" i="9"/>
  <c r="T49" i="9" s="1"/>
  <c r="K48" i="9"/>
  <c r="L47" i="9" s="1"/>
  <c r="M47" i="9" s="1"/>
  <c r="D48" i="9"/>
  <c r="E47" i="9" s="1"/>
  <c r="F47" i="9" s="1"/>
  <c r="Y50" i="9" l="1"/>
  <c r="Z49" i="9"/>
  <c r="AA49" i="9" s="1"/>
  <c r="AF50" i="9"/>
  <c r="AG49" i="9" s="1" a="1"/>
  <c r="AG49" i="9" s="1"/>
  <c r="AH49" i="9" s="1"/>
  <c r="R51" i="9"/>
  <c r="S50" i="9"/>
  <c r="T50" i="9" s="1"/>
  <c r="K49" i="9"/>
  <c r="L48" i="9"/>
  <c r="M48" i="9" s="1"/>
  <c r="D49" i="9"/>
  <c r="E48" i="9" s="1"/>
  <c r="F48" i="9" s="1"/>
  <c r="AF51" i="9" l="1"/>
  <c r="AG50" i="9" a="1"/>
  <c r="AG50" i="9" s="1"/>
  <c r="AH50" i="9" s="1"/>
  <c r="Y51" i="9"/>
  <c r="Z50" i="9"/>
  <c r="AA50" i="9" s="1"/>
  <c r="R52" i="9"/>
  <c r="S52" i="9" s="1"/>
  <c r="T52" i="9" s="1"/>
  <c r="S51" i="9"/>
  <c r="T51" i="9" s="1"/>
  <c r="K50" i="9"/>
  <c r="L49" i="9"/>
  <c r="M49" i="9" s="1"/>
  <c r="D50" i="9"/>
  <c r="E49" i="9"/>
  <c r="F49" i="9" s="1"/>
  <c r="Y52" i="9" l="1"/>
  <c r="Z52" i="9" s="1"/>
  <c r="AA52" i="9" s="1"/>
  <c r="Z51" i="9"/>
  <c r="AA51" i="9" s="1"/>
  <c r="AF52" i="9"/>
  <c r="AG52" i="9" s="1" a="1"/>
  <c r="AG52" i="9" s="1"/>
  <c r="AH52" i="9" s="1"/>
  <c r="K51" i="9"/>
  <c r="L50" i="9" s="1"/>
  <c r="M50" i="9" s="1"/>
  <c r="D51" i="9"/>
  <c r="E50" i="9"/>
  <c r="F50" i="9" s="1"/>
  <c r="AG51" i="9" l="1" a="1"/>
  <c r="AG51" i="9" s="1"/>
  <c r="AH51" i="9" s="1"/>
  <c r="K52" i="9"/>
  <c r="L52" i="9" s="1"/>
  <c r="M52" i="9" s="1"/>
  <c r="L51" i="9"/>
  <c r="M51" i="9" s="1"/>
  <c r="D52" i="9"/>
  <c r="E52" i="9" s="1"/>
  <c r="F52" i="9" s="1"/>
  <c r="E51" i="9"/>
  <c r="F51"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Tatiana</author>
  </authors>
  <commentList>
    <comment ref="U23" authorId="0" shapeId="0" xr:uid="{F3725525-556C-43EA-9FF8-C410B0396928}">
      <text>
        <r>
          <rPr>
            <sz val="9"/>
            <color rgb="FF000000"/>
            <rFont val="Tahoma"/>
            <family val="2"/>
          </rPr>
          <t>The scrap value was added at the end of this year.</t>
        </r>
      </text>
    </comment>
    <comment ref="G30" authorId="0" shapeId="0" xr:uid="{7A1F30AC-43B4-4BA9-A869-9602A72625D9}">
      <text>
        <r>
          <rPr>
            <b/>
            <sz val="9"/>
            <color rgb="FF000000"/>
            <rFont val="Tahoma"/>
            <family val="2"/>
          </rPr>
          <t>Tatiana:</t>
        </r>
        <r>
          <rPr>
            <sz val="9"/>
            <color rgb="FF000000"/>
            <rFont val="Tahoma"/>
            <family val="2"/>
          </rPr>
          <t xml:space="preserve">
</t>
        </r>
        <r>
          <rPr>
            <sz val="9"/>
            <color rgb="FF000000"/>
            <rFont val="Tahoma"/>
            <family val="2"/>
          </rPr>
          <t xml:space="preserve">Profitability Index = NPV/Initial Investment +1 </t>
        </r>
      </text>
    </comment>
    <comment ref="U66" authorId="0" shapeId="0" xr:uid="{2AFA9A7F-464A-4110-B152-205FDAC6B30F}">
      <text>
        <r>
          <rPr>
            <sz val="9"/>
            <color rgb="FF000000"/>
            <rFont val="Tahoma"/>
            <family val="2"/>
          </rPr>
          <t>The scrap value was added at the end of this year.</t>
        </r>
      </text>
    </comment>
    <comment ref="G73" authorId="0" shapeId="0" xr:uid="{2D9E30A1-E55B-47F1-83C5-9EC85BD5932A}">
      <text>
        <r>
          <rPr>
            <b/>
            <sz val="9"/>
            <color rgb="FF000000"/>
            <rFont val="Tahoma"/>
            <family val="2"/>
          </rPr>
          <t>Tatiana:</t>
        </r>
        <r>
          <rPr>
            <sz val="9"/>
            <color rgb="FF000000"/>
            <rFont val="Tahoma"/>
            <family val="2"/>
          </rPr>
          <t xml:space="preserve">
</t>
        </r>
        <r>
          <rPr>
            <sz val="9"/>
            <color rgb="FF000000"/>
            <rFont val="Tahoma"/>
            <family val="2"/>
          </rPr>
          <t xml:space="preserve">Profitability Index = NPV/Initial Investment +1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<sst xmlns="http://schemas.openxmlformats.org/spreadsheetml/2006/main" count="206" uniqueCount="85">
  <si>
    <t>Investment Analysis Tool</t>
  </si>
  <si>
    <t>Investment</t>
  </si>
  <si>
    <t>Fixed Capital Investment</t>
  </si>
  <si>
    <t>New Plant Project Details</t>
  </si>
  <si>
    <t>Discount Rate(Nominal)</t>
  </si>
  <si>
    <t>Inflation Rate</t>
  </si>
  <si>
    <t>Production Costs per bottle</t>
  </si>
  <si>
    <t>Sales Price per bottle</t>
  </si>
  <si>
    <t>Corporate tax</t>
  </si>
  <si>
    <t>Working Capital Investment</t>
  </si>
  <si>
    <t>Returned Capital Investment</t>
  </si>
  <si>
    <t>Operating Cost</t>
  </si>
  <si>
    <t>Values</t>
  </si>
  <si>
    <t>EBITDA</t>
  </si>
  <si>
    <t>Depreciation</t>
  </si>
  <si>
    <t>Depreciation per year</t>
  </si>
  <si>
    <t>EBIT</t>
  </si>
  <si>
    <t>Taxes</t>
  </si>
  <si>
    <t>Net Income</t>
  </si>
  <si>
    <t>Discounted FCF</t>
  </si>
  <si>
    <t>Construction duration (years)</t>
  </si>
  <si>
    <t>Bottles to be sold (After three years)</t>
  </si>
  <si>
    <t>Bottles to be sold(In first three years)</t>
  </si>
  <si>
    <t>New plant duration (years)</t>
  </si>
  <si>
    <t>Depreciation Duration(years)</t>
  </si>
  <si>
    <t>Revenue(Bottles sales)</t>
  </si>
  <si>
    <t>Salvage Value (Scrap)</t>
  </si>
  <si>
    <t>Cummulative Discounted FCF</t>
  </si>
  <si>
    <t>Real Discount Rate</t>
  </si>
  <si>
    <t>Net Present Value</t>
  </si>
  <si>
    <t>Profitability Index</t>
  </si>
  <si>
    <t>Discounted Payback Period DPP</t>
  </si>
  <si>
    <t>Payback Period</t>
  </si>
  <si>
    <t>Internal Rate Revenue</t>
  </si>
  <si>
    <t>Free Cash Free  FCF</t>
  </si>
  <si>
    <t>Cummulative FCF</t>
  </si>
  <si>
    <t>years starting from the construction of the plant but 6.16 years from the year production started.</t>
  </si>
  <si>
    <t>years starting from the construction of the plant but 7.16 years from the year production started.</t>
  </si>
  <si>
    <t>Investment Analysis Dashboard</t>
  </si>
  <si>
    <t>BREAKEVEN ANALYSIS</t>
  </si>
  <si>
    <t>Sales price per bottle</t>
  </si>
  <si>
    <t>Bottles sold after three years</t>
  </si>
  <si>
    <t>Nominal Discount Rate</t>
  </si>
  <si>
    <t>Factors</t>
  </si>
  <si>
    <t>Sales unit after three years</t>
  </si>
  <si>
    <t>Sensitivity Analysis</t>
  </si>
  <si>
    <t>Scenario</t>
  </si>
  <si>
    <t>Pessimistic</t>
  </si>
  <si>
    <t>Realistic</t>
  </si>
  <si>
    <t>Optimistic</t>
  </si>
  <si>
    <t>production_cost</t>
  </si>
  <si>
    <t>Inflation_rate</t>
  </si>
  <si>
    <t>Created by Tatiana on 2025-03-23
Modified by Tatiana on 2025-03-23</t>
  </si>
  <si>
    <t>Scenario Summary</t>
  </si>
  <si>
    <t>Changing Cells:</t>
  </si>
  <si>
    <t>Current Values:</t>
  </si>
  <si>
    <t>Result Cells:</t>
  </si>
  <si>
    <t>Notes: Current Values column represents values of changing cells at</t>
  </si>
  <si>
    <t>time Scenario Summary Report was created.  Changing cells for each</t>
  </si>
  <si>
    <t>scenario are highlighted in grey.</t>
  </si>
  <si>
    <t>NPV</t>
  </si>
  <si>
    <t>IRR</t>
  </si>
  <si>
    <t>PI</t>
  </si>
  <si>
    <t>PP</t>
  </si>
  <si>
    <t>DPP</t>
  </si>
  <si>
    <t>#</t>
  </si>
  <si>
    <t>Uncertain Variables</t>
  </si>
  <si>
    <t>min</t>
  </si>
  <si>
    <t>max</t>
  </si>
  <si>
    <t>RAND</t>
  </si>
  <si>
    <t>MONTE CARLO SIMULATION</t>
  </si>
  <si>
    <t>Simulations</t>
  </si>
  <si>
    <t>Run</t>
  </si>
  <si>
    <t>Min</t>
  </si>
  <si>
    <t>Max</t>
  </si>
  <si>
    <t>Range</t>
  </si>
  <si>
    <t>rounding</t>
  </si>
  <si>
    <t>min_new</t>
  </si>
  <si>
    <t>max_new</t>
  </si>
  <si>
    <t>bin #</t>
  </si>
  <si>
    <t>count</t>
  </si>
  <si>
    <t>Probability</t>
  </si>
  <si>
    <t>bin#</t>
  </si>
  <si>
    <t>Break Even Analysis Summary</t>
  </si>
  <si>
    <t>SCENARIO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</si>
</sst>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Red]\-&quot;$&quot;#,##0"/>
    <numFmt numFmtId="165" formatCode="_-&quot;$&quot;* #,##0.00_-;\-&quot;$&quot;* #,##0.00_-;_-&quot;$&quot;* &quot;-&quot;??_-;_-@_-"/>
    <numFmt numFmtId="166" formatCode="_-* #,##0.00_-;\-* #,##0.00_-;_-* &quot;-&quot;??_-;_-@_-"/>
    <numFmt numFmtId="167" formatCode="_-* #,##0_-;\-* #,##0_-;_-* &quot;-&quot;??_-;_-@_-"/>
    <numFmt numFmtId="168" formatCode="_-&quot;$&quot;* #,##0_-;\-&quot;$&quot;* #,##0_-;_-&quot;$&quot;* &quot;-&quot;??_-;_-@_-"/>
    <numFmt numFmtId="169" formatCode="0.0%"/>
    <numFmt numFmtId="170" formatCode="0.0"/>
  </numFmts>
  <fonts count="19" x14ac:knownFonts="1">
    <font>
      <sz val="11"/>
      <color theme="1"/>
      <name val="Aptos Narrow"/>
      <family val="2"/>
      <scheme val="minor"/>
    </font>
    <font>
      <sz val="11"/>
      <color theme="1"/>
      <name val="Aptos Narrow"/>
      <family val="2"/>
      <scheme val="minor"/>
    </font>
    <font>
      <b/>
      <sz val="11"/>
      <color theme="1"/>
      <name val="Aptos Narrow"/>
      <family val="2"/>
      <scheme val="minor"/>
    </font>
    <font>
      <sz val="20"/>
      <color theme="1"/>
      <name val="Times New Roman"/>
      <family val="1"/>
    </font>
    <font>
      <sz val="11"/>
      <color theme="1"/>
      <name val="Times New Roman"/>
      <family val="1"/>
    </font>
    <font>
      <b/>
      <sz val="12"/>
      <color theme="1"/>
      <name val="Times New Roman"/>
      <family val="1"/>
    </font>
    <font>
      <b/>
      <sz val="11"/>
      <color theme="1"/>
      <name val="Times New Roman"/>
      <family val="1"/>
    </font>
    <font>
      <sz val="14"/>
      <color theme="1"/>
      <name val="Times New Roman"/>
      <family val="1"/>
    </font>
    <font>
      <b/>
      <sz val="14"/>
      <color theme="1"/>
      <name val="Times New Roman"/>
      <family val="1"/>
    </font>
    <font>
      <sz val="11"/>
      <color rgb="FF000000"/>
      <name val="Calibri"/>
      <family val="2"/>
    </font>
    <font>
      <b/>
      <sz val="11"/>
      <color theme="1"/>
      <name val="Aptos Narrow"/>
      <family val="2"/>
      <charset val="204"/>
      <scheme val="minor"/>
    </font>
    <font>
      <b/>
      <sz val="12"/>
      <color indexed="9"/>
      <name val="Aptos Narrow"/>
      <family val="2"/>
      <scheme val="minor"/>
    </font>
    <font>
      <b/>
      <sz val="11"/>
      <color indexed="8"/>
      <name val="Aptos Narrow"/>
      <family val="2"/>
      <scheme val="minor"/>
    </font>
    <font>
      <b/>
      <sz val="11"/>
      <color indexed="18"/>
      <name val="Aptos Narrow"/>
      <family val="2"/>
      <scheme val="minor"/>
    </font>
    <font>
      <sz val="10"/>
      <color indexed="9"/>
      <name val="Aptos Narrow"/>
      <family val="2"/>
      <scheme val="minor"/>
    </font>
    <font>
      <sz val="8"/>
      <color theme="1"/>
      <name val="Aptos Narrow"/>
      <family val="2"/>
      <scheme val="minor"/>
    </font>
    <font>
      <b/>
      <sz val="14"/>
      <color theme="1"/>
      <name val="Aptos Narrow"/>
      <family val="2"/>
      <scheme val="minor"/>
    </font>
    <font>
      <sz val="9"/>
      <color rgb="FF000000"/>
      <name val="Tahoma"/>
      <family val="2"/>
    </font>
    <font>
      <b/>
      <sz val="9"/>
      <color rgb="FF000000"/>
      <name val="Tahoma"/>
      <family val="2"/>
    </font>
  </fonts>
  <fills count="17">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92D05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7"/>
        <bgColor indexed="64"/>
      </patternFill>
    </fill>
    <fill>
      <patternFill patternType="solid">
        <fgColor theme="0"/>
        <bgColor theme="4" tint="0.79998168889431442"/>
      </patternFill>
    </fill>
  </fills>
  <borders count="13">
    <border>
      <left/>
      <right/>
      <top/>
      <bottom/>
      <diagonal/>
    </border>
    <border>
      <left/>
      <right/>
      <top style="thin">
        <color auto="1"/>
      </top>
      <bottom style="thin">
        <color auto="1"/>
      </bottom>
      <diagonal/>
    </border>
    <border>
      <left/>
      <right/>
      <top style="thin">
        <color auto="1"/>
      </top>
      <bottom/>
      <diagonal/>
    </border>
    <border>
      <left/>
      <right/>
      <top/>
      <bottom style="thin">
        <color auto="1"/>
      </bottom>
      <diagonal/>
    </border>
    <border>
      <left/>
      <right style="thin">
        <color theme="4" tint="0.39997558519241921"/>
      </right>
      <top style="thin">
        <color theme="4" tint="0.39997558519241921"/>
      </top>
      <bottom style="thin">
        <color theme="4" tint="0.39997558519241921"/>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166"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cellStyleXfs>
  <cellXfs count="102">
    <xf numFmtId="0" fontId="0" fillId="0" borderId="0" xfId="0"/>
    <xf numFmtId="0" fontId="4" fillId="0" borderId="0" xfId="0" applyFont="1"/>
    <xf numFmtId="0" fontId="5" fillId="0" borderId="0" xfId="0" applyFont="1"/>
    <xf numFmtId="0" fontId="5" fillId="0" borderId="0" xfId="0" applyFont="1" applyAlignment="1">
      <alignment horizontal="center" vertical="center"/>
    </xf>
    <xf numFmtId="0" fontId="2" fillId="0" borderId="0" xfId="0" applyFont="1" applyAlignment="1">
      <alignment horizontal="center" vertical="center"/>
    </xf>
    <xf numFmtId="9" fontId="0" fillId="0" borderId="0" xfId="0" applyNumberFormat="1"/>
    <xf numFmtId="166" fontId="0" fillId="0" borderId="0" xfId="1" applyFont="1"/>
    <xf numFmtId="167" fontId="0" fillId="0" borderId="0" xfId="1" applyNumberFormat="1" applyFont="1"/>
    <xf numFmtId="0" fontId="6" fillId="0" borderId="0" xfId="0" applyFont="1"/>
    <xf numFmtId="0" fontId="4" fillId="0" borderId="0" xfId="1" applyNumberFormat="1" applyFont="1" applyAlignment="1">
      <alignment horizontal="center" vertical="center"/>
    </xf>
    <xf numFmtId="0" fontId="0" fillId="0" borderId="0" xfId="1" applyNumberFormat="1" applyFont="1"/>
    <xf numFmtId="167" fontId="4" fillId="0" borderId="0" xfId="1" applyNumberFormat="1" applyFont="1" applyAlignment="1">
      <alignment horizontal="center" vertical="center"/>
    </xf>
    <xf numFmtId="165" fontId="0" fillId="0" borderId="0" xfId="2" applyFont="1"/>
    <xf numFmtId="168" fontId="0" fillId="0" borderId="0" xfId="2" applyNumberFormat="1" applyFont="1"/>
    <xf numFmtId="0" fontId="0" fillId="0" borderId="0" xfId="2" applyNumberFormat="1" applyFont="1"/>
    <xf numFmtId="0" fontId="3" fillId="0" borderId="0" xfId="0" applyFont="1" applyAlignment="1">
      <alignment vertical="center"/>
    </xf>
    <xf numFmtId="0" fontId="6" fillId="0" borderId="1" xfId="0" applyFont="1" applyBorder="1"/>
    <xf numFmtId="0" fontId="0" fillId="0" borderId="1" xfId="0" applyBorder="1"/>
    <xf numFmtId="167" fontId="0" fillId="0" borderId="1" xfId="1" applyNumberFormat="1" applyFont="1" applyBorder="1"/>
    <xf numFmtId="0" fontId="6" fillId="0" borderId="2" xfId="0" applyFont="1" applyBorder="1"/>
    <xf numFmtId="0" fontId="6" fillId="0" borderId="3" xfId="0" applyFont="1" applyBorder="1"/>
    <xf numFmtId="166" fontId="0" fillId="0" borderId="1" xfId="1" applyFont="1" applyBorder="1"/>
    <xf numFmtId="0" fontId="4" fillId="3" borderId="0" xfId="0" applyFont="1" applyFill="1"/>
    <xf numFmtId="166" fontId="0" fillId="0" borderId="2" xfId="0" applyNumberFormat="1" applyBorder="1"/>
    <xf numFmtId="165" fontId="4" fillId="0" borderId="0" xfId="1" applyNumberFormat="1" applyFont="1" applyAlignment="1">
      <alignment horizontal="center" vertical="center"/>
    </xf>
    <xf numFmtId="0" fontId="4" fillId="0" borderId="0" xfId="2" applyNumberFormat="1" applyFont="1" applyAlignment="1">
      <alignment horizontal="center" vertical="center"/>
    </xf>
    <xf numFmtId="165" fontId="4" fillId="3" borderId="0" xfId="1" applyNumberFormat="1" applyFont="1" applyFill="1" applyAlignment="1">
      <alignment horizontal="center" vertical="center"/>
    </xf>
    <xf numFmtId="0" fontId="0" fillId="0" borderId="1" xfId="1" applyNumberFormat="1" applyFont="1" applyBorder="1"/>
    <xf numFmtId="0" fontId="0" fillId="0" borderId="0" xfId="1" applyNumberFormat="1" applyFont="1" applyBorder="1"/>
    <xf numFmtId="166" fontId="0" fillId="0" borderId="0" xfId="1" applyFont="1" applyBorder="1"/>
    <xf numFmtId="166" fontId="0" fillId="0" borderId="0" xfId="0" applyNumberFormat="1"/>
    <xf numFmtId="167" fontId="0" fillId="0" borderId="2" xfId="0" applyNumberFormat="1" applyBorder="1"/>
    <xf numFmtId="167" fontId="0" fillId="0" borderId="0" xfId="0" applyNumberFormat="1"/>
    <xf numFmtId="169" fontId="0" fillId="0" borderId="0" xfId="0" applyNumberFormat="1"/>
    <xf numFmtId="167" fontId="0" fillId="0" borderId="3" xfId="0" applyNumberFormat="1" applyBorder="1"/>
    <xf numFmtId="2" fontId="0" fillId="0" borderId="0" xfId="0" applyNumberFormat="1"/>
    <xf numFmtId="2" fontId="0" fillId="3" borderId="0" xfId="0" applyNumberFormat="1" applyFill="1"/>
    <xf numFmtId="0" fontId="0" fillId="5" borderId="0" xfId="0" applyFill="1"/>
    <xf numFmtId="0" fontId="0" fillId="6" borderId="0" xfId="0" applyFill="1"/>
    <xf numFmtId="9" fontId="0" fillId="0" borderId="0" xfId="0" applyNumberFormat="1">
      <extLst>
        <ext xmlns:xfpb="http://schemas.microsoft.com/office/spreadsheetml/2022/featurepropertybag" uri="{C7286773-470A-42A8-94C5-96B5CB345126}">
          <xfpb:xfComplement i="0"/>
        </ext>
      </extLst>
    </xf>
    <xf numFmtId="0" fontId="6" fillId="0" borderId="0" xfId="0" applyFont="1">
      <extLst>
        <ext xmlns:xfpb="http://schemas.microsoft.com/office/spreadsheetml/2022/featurepropertybag" uri="{C7286773-470A-42A8-94C5-96B5CB345126}">
          <xfpb:xfComplement i="0"/>
        </ext>
      </extLst>
    </xf>
    <xf numFmtId="164" fontId="0" fillId="3" borderId="0" xfId="0" applyNumberFormat="1" applyFill="1">
      <extLst>
        <ext xmlns:xfpb="http://schemas.microsoft.com/office/spreadsheetml/2022/featurepropertybag" uri="{C7286773-470A-42A8-94C5-96B5CB345126}">
          <xfpb:xfComplement i="0"/>
        </ext>
      </extLst>
    </xf>
    <xf numFmtId="9" fontId="0" fillId="6" borderId="0" xfId="0" applyNumberFormat="1" applyFill="1"/>
    <xf numFmtId="167" fontId="0" fillId="7" borderId="4" xfId="1" applyNumberFormat="1" applyFont="1" applyFill="1" applyBorder="1"/>
    <xf numFmtId="0" fontId="0" fillId="0" borderId="0" xfId="0" applyAlignment="1">
      <alignment horizontal="center"/>
    </xf>
    <xf numFmtId="165" fontId="0" fillId="7" borderId="4" xfId="2" applyFont="1" applyFill="1" applyBorder="1"/>
    <xf numFmtId="165" fontId="0" fillId="0" borderId="4" xfId="2" applyFont="1" applyBorder="1"/>
    <xf numFmtId="9" fontId="0" fillId="7" borderId="4" xfId="0" applyNumberFormat="1" applyFill="1" applyBorder="1"/>
    <xf numFmtId="9" fontId="0" fillId="0" borderId="4" xfId="0" applyNumberFormat="1" applyBorder="1"/>
    <xf numFmtId="0" fontId="10" fillId="0" borderId="0" xfId="0" applyFont="1"/>
    <xf numFmtId="9" fontId="0" fillId="9" borderId="0" xfId="0" applyNumberFormat="1" applyFill="1"/>
    <xf numFmtId="0" fontId="0" fillId="10" borderId="0" xfId="0" applyFill="1"/>
    <xf numFmtId="0" fontId="0" fillId="3" borderId="0" xfId="0" applyFill="1"/>
    <xf numFmtId="170" fontId="0" fillId="0" borderId="0" xfId="0" applyNumberFormat="1"/>
    <xf numFmtId="170" fontId="0" fillId="11" borderId="0" xfId="0" applyNumberFormat="1" applyFill="1"/>
    <xf numFmtId="2" fontId="0" fillId="11" borderId="0" xfId="3" applyNumberFormat="1" applyFont="1" applyFill="1"/>
    <xf numFmtId="165" fontId="0" fillId="0" borderId="0" xfId="0" applyNumberFormat="1"/>
    <xf numFmtId="9" fontId="0" fillId="0" borderId="0" xfId="3" applyFont="1"/>
    <xf numFmtId="2" fontId="0" fillId="0" borderId="0" xfId="3" applyNumberFormat="1" applyFont="1"/>
    <xf numFmtId="2" fontId="0" fillId="0" borderId="0" xfId="3" applyNumberFormat="1" applyFont="1" applyFill="1"/>
    <xf numFmtId="9" fontId="0" fillId="0" borderId="0" xfId="3" applyFont="1" applyAlignment="1">
      <alignment horizontal="center"/>
    </xf>
    <xf numFmtId="0" fontId="11" fillId="12" borderId="3" xfId="0" applyFont="1" applyFill="1" applyBorder="1" applyAlignment="1">
      <alignment horizontal="left"/>
    </xf>
    <xf numFmtId="0" fontId="11" fillId="12" borderId="5" xfId="0" applyFont="1" applyFill="1" applyBorder="1" applyAlignment="1">
      <alignment horizontal="left"/>
    </xf>
    <xf numFmtId="0" fontId="12" fillId="13" borderId="0" xfId="0" applyFont="1" applyFill="1" applyAlignment="1">
      <alignment horizontal="left"/>
    </xf>
    <xf numFmtId="0" fontId="13" fillId="13" borderId="1" xfId="0" applyFont="1" applyFill="1" applyBorder="1" applyAlignment="1">
      <alignment horizontal="left"/>
    </xf>
    <xf numFmtId="0" fontId="12" fillId="13" borderId="6" xfId="0" applyFont="1" applyFill="1" applyBorder="1" applyAlignment="1">
      <alignment horizontal="left"/>
    </xf>
    <xf numFmtId="0" fontId="14" fillId="12" borderId="5" xfId="0" applyFont="1" applyFill="1" applyBorder="1" applyAlignment="1">
      <alignment horizontal="right"/>
    </xf>
    <xf numFmtId="0" fontId="14" fillId="12" borderId="3" xfId="0" applyFont="1" applyFill="1" applyBorder="1" applyAlignment="1">
      <alignment horizontal="right"/>
    </xf>
    <xf numFmtId="9" fontId="0" fillId="14" borderId="0" xfId="0" applyNumberFormat="1" applyFill="1"/>
    <xf numFmtId="165" fontId="0" fillId="14" borderId="0" xfId="0" applyNumberFormat="1" applyFill="1"/>
    <xf numFmtId="0" fontId="15" fillId="0" borderId="0" xfId="0" applyFont="1" applyAlignment="1">
      <alignment vertical="top" wrapText="1"/>
    </xf>
    <xf numFmtId="164" fontId="0" fillId="0" borderId="0" xfId="0" applyNumberFormat="1"/>
    <xf numFmtId="2" fontId="0" fillId="0" borderId="6" xfId="0" applyNumberFormat="1" applyBorder="1"/>
    <xf numFmtId="0" fontId="0" fillId="0" borderId="7" xfId="0" applyBorder="1"/>
    <xf numFmtId="0" fontId="0" fillId="0" borderId="2" xfId="0" applyBorder="1"/>
    <xf numFmtId="0" fontId="0" fillId="0" borderId="8" xfId="0" applyBorder="1"/>
    <xf numFmtId="0" fontId="0" fillId="0" borderId="9" xfId="0" applyBorder="1"/>
    <xf numFmtId="165" fontId="0" fillId="0" borderId="0" xfId="2" applyFont="1" applyBorder="1" applyAlignment="1"/>
    <xf numFmtId="9" fontId="0" fillId="0" borderId="10" xfId="3" applyFont="1" applyBorder="1" applyAlignment="1"/>
    <xf numFmtId="0" fontId="0" fillId="0" borderId="11" xfId="0" applyBorder="1"/>
    <xf numFmtId="0" fontId="0" fillId="0" borderId="3" xfId="0" applyBorder="1"/>
    <xf numFmtId="165" fontId="0" fillId="0" borderId="3" xfId="2" applyFont="1" applyBorder="1" applyAlignment="1"/>
    <xf numFmtId="9" fontId="0" fillId="0" borderId="12" xfId="3" applyFont="1" applyBorder="1" applyAlignment="1"/>
    <xf numFmtId="9" fontId="0" fillId="0" borderId="0" xfId="3" applyFont="1" applyBorder="1" applyAlignment="1"/>
    <xf numFmtId="9" fontId="0" fillId="0" borderId="3" xfId="3" applyFont="1" applyBorder="1" applyAlignment="1"/>
    <xf numFmtId="1" fontId="0" fillId="0" borderId="0" xfId="0" applyNumberForma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xf>
    <xf numFmtId="0" fontId="8" fillId="0" borderId="0" xfId="0" applyFont="1" applyAlignment="1">
      <alignment horizontal="center" vertical="center"/>
    </xf>
    <xf numFmtId="0" fontId="6" fillId="0" borderId="0" xfId="0" applyFont="1" applyAlignment="1">
      <alignment horizontal="center"/>
    </xf>
    <xf numFmtId="0" fontId="0" fillId="0" borderId="0" xfId="0" applyAlignment="1">
      <alignment horizontal="center"/>
    </xf>
    <xf numFmtId="0" fontId="3" fillId="2" borderId="0" xfId="0" applyFont="1" applyFill="1" applyAlignment="1">
      <alignment horizontal="center" vertical="center"/>
    </xf>
    <xf numFmtId="0" fontId="10" fillId="8" borderId="0" xfId="0" applyFont="1" applyFill="1" applyAlignment="1">
      <alignment horizontal="center"/>
    </xf>
    <xf numFmtId="165" fontId="0" fillId="7" borderId="0" xfId="2" applyFont="1" applyFill="1" applyBorder="1" applyAlignment="1">
      <alignment horizontal="center"/>
    </xf>
    <xf numFmtId="164" fontId="0" fillId="6" borderId="0" xfId="0" applyNumberFormat="1" applyFill="1" applyAlignment="1">
      <alignment horizontal="center" vertical="center"/>
    </xf>
    <xf numFmtId="2" fontId="0" fillId="6" borderId="0" xfId="0" applyNumberFormat="1" applyFill="1" applyAlignment="1">
      <alignment horizontal="center"/>
    </xf>
    <xf numFmtId="0" fontId="7" fillId="4" borderId="0" xfId="0" applyFont="1" applyFill="1" applyAlignment="1">
      <alignment horizontal="center" vertical="center"/>
    </xf>
    <xf numFmtId="0" fontId="16" fillId="15" borderId="0" xfId="0" applyFont="1" applyFill="1" applyAlignment="1">
      <alignment horizontal="center" vertical="center"/>
    </xf>
    <xf numFmtId="0" fontId="2" fillId="15" borderId="0" xfId="0" applyFont="1" applyFill="1" applyAlignment="1">
      <alignment horizontal="center"/>
    </xf>
    <xf numFmtId="0" fontId="0" fillId="5" borderId="0" xfId="0" applyFill="1" applyAlignment="1">
      <alignment horizontal="center"/>
    </xf>
    <xf numFmtId="165" fontId="0" fillId="16" borderId="0" xfId="2" applyFont="1" applyFill="1" applyBorder="1" applyAlignment="1">
      <alignment horizontal="center"/>
    </xf>
  </cellXfs>
  <cellStyles count="4">
    <cellStyle name="Comma" xfId="1" builtinId="3"/>
    <cellStyle name="Currency" xfId="2" builtinId="4"/>
    <cellStyle name="Normal" xfId="0" builtinId="0"/>
    <cellStyle name="Percent" xfId="3" builtinId="5"/>
  </cellStyles>
  <dxfs count="8">
    <dxf>
      <font>
        <b val="0"/>
        <i val="0"/>
        <strike val="0"/>
        <condense val="0"/>
        <extend val="0"/>
        <outline val="0"/>
        <shadow val="0"/>
        <u val="none"/>
        <vertAlign val="baseline"/>
        <sz val="11"/>
        <color theme="1"/>
        <name val="Times New Roman"/>
        <family val="1"/>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sensitivity!$C$1</c:f>
          <c:strCache>
            <c:ptCount val="1"/>
            <c:pt idx="0">
              <c:v>Net Present Value</c:v>
            </c:pt>
          </c:strCache>
        </c:strRef>
      </c:tx>
      <c:layout>
        <c:manualLayout>
          <c:xMode val="edge"/>
          <c:yMode val="edge"/>
          <c:x val="0.39719517848864161"/>
          <c:y val="2.773307050511396E-2"/>
        </c:manualLayout>
      </c:layout>
      <c:overlay val="0"/>
      <c:txPr>
        <a:bodyPr/>
        <a:lstStyle/>
        <a:p>
          <a:pPr>
            <a:defRPr sz="1200"/>
          </a:pPr>
          <a:endParaRPr lang="fi-FI"/>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sensitivity!$C$3:$M$3</c:f>
              <c:numCache>
                <c:formatCode>0.0</c:formatCode>
                <c:ptCount val="11"/>
                <c:pt idx="0">
                  <c:v>9604557.566729784</c:v>
                </c:pt>
                <c:pt idx="1">
                  <c:v>8631830.2940025125</c:v>
                </c:pt>
                <c:pt idx="2">
                  <c:v>7659103.0212752391</c:v>
                </c:pt>
                <c:pt idx="3">
                  <c:v>6686375.7485479675</c:v>
                </c:pt>
                <c:pt idx="4">
                  <c:v>5713648.4758206923</c:v>
                </c:pt>
                <c:pt idx="5">
                  <c:v>4740921.2030934189</c:v>
                </c:pt>
                <c:pt idx="6">
                  <c:v>3768193.9303661473</c:v>
                </c:pt>
                <c:pt idx="7">
                  <c:v>2795466.6576388739</c:v>
                </c:pt>
                <c:pt idx="8">
                  <c:v>1822739.3849116014</c:v>
                </c:pt>
                <c:pt idx="9">
                  <c:v>850012.11218432896</c:v>
                </c:pt>
                <c:pt idx="10">
                  <c:v>-122715.16054294445</c:v>
                </c:pt>
              </c:numCache>
            </c:numRef>
          </c:val>
          <c:smooth val="0"/>
          <c:extLst>
            <c:ext xmlns:c16="http://schemas.microsoft.com/office/drawing/2014/chart" uri="{C3380CC4-5D6E-409C-BE32-E72D297353CC}">
              <c16:uniqueId val="{00000000-1951-4372-865E-2619365DF065}"/>
            </c:ext>
          </c:extLst>
        </c:ser>
        <c:ser>
          <c:idx val="3"/>
          <c:order val="1"/>
          <c:tx>
            <c:strRef>
              <c:f>sensitivity!$A$4</c:f>
              <c:strCache>
                <c:ptCount val="1"/>
                <c:pt idx="0">
                  <c:v>Sales price per bottle</c:v>
                </c:pt>
              </c:strCache>
            </c:strRef>
          </c:tx>
          <c:spPr>
            <a:ln w="25400">
              <a:solidFill>
                <a:srgbClr val="92D050"/>
              </a:solidFill>
            </a:ln>
          </c:spPr>
          <c:marker>
            <c:symbol val="circle"/>
            <c:size val="5"/>
            <c:spPr>
              <a:solidFill>
                <a:srgbClr val="92D050"/>
              </a:solidFill>
              <a:ln>
                <a:solidFill>
                  <a:srgbClr val="00B05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sensitivity!$C$4:$M$4</c:f>
              <c:numCache>
                <c:formatCode>0.0</c:formatCode>
                <c:ptCount val="11"/>
                <c:pt idx="0">
                  <c:v>2710488.8774326043</c:v>
                </c:pt>
                <c:pt idx="1">
                  <c:v>3116575.3425647672</c:v>
                </c:pt>
                <c:pt idx="2">
                  <c:v>3522661.8076969311</c:v>
                </c:pt>
                <c:pt idx="3">
                  <c:v>3928748.272829093</c:v>
                </c:pt>
                <c:pt idx="4">
                  <c:v>4334834.7379612569</c:v>
                </c:pt>
                <c:pt idx="5">
                  <c:v>4740921.2030934189</c:v>
                </c:pt>
                <c:pt idx="6">
                  <c:v>5147007.6682255827</c:v>
                </c:pt>
                <c:pt idx="7">
                  <c:v>5553094.1333577465</c:v>
                </c:pt>
                <c:pt idx="8">
                  <c:v>5959180.5984899104</c:v>
                </c:pt>
                <c:pt idx="9">
                  <c:v>6365267.0636220742</c:v>
                </c:pt>
                <c:pt idx="10">
                  <c:v>6771353.5287542362</c:v>
                </c:pt>
              </c:numCache>
            </c:numRef>
          </c:val>
          <c:smooth val="0"/>
          <c:extLst>
            <c:ext xmlns:c16="http://schemas.microsoft.com/office/drawing/2014/chart" uri="{C3380CC4-5D6E-409C-BE32-E72D297353CC}">
              <c16:uniqueId val="{00000001-1951-4372-865E-2619365DF065}"/>
            </c:ext>
          </c:extLst>
        </c:ser>
        <c:ser>
          <c:idx val="4"/>
          <c:order val="2"/>
          <c:tx>
            <c:strRef>
              <c:f>sensitivity!$A$5</c:f>
              <c:strCache>
                <c:ptCount val="1"/>
                <c:pt idx="0">
                  <c:v>Nominal Discount Rate</c:v>
                </c:pt>
              </c:strCache>
            </c:strRef>
          </c:tx>
          <c:spPr>
            <a:ln w="25400">
              <a:solidFill>
                <a:srgbClr val="FFC000"/>
              </a:solidFill>
            </a:ln>
          </c:spPr>
          <c:marker>
            <c:symbol val="circle"/>
            <c:size val="5"/>
            <c:spPr>
              <a:solidFill>
                <a:srgbClr val="FFC000"/>
              </a:solidFill>
              <a:ln>
                <a:solidFill>
                  <a:schemeClr val="accent6"/>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sensitivity!$C$5:$M$5</c:f>
              <c:numCache>
                <c:formatCode>0.0</c:formatCode>
                <c:ptCount val="11"/>
                <c:pt idx="0">
                  <c:v>10796442.898265958</c:v>
                </c:pt>
                <c:pt idx="1">
                  <c:v>9334516.0777946413</c:v>
                </c:pt>
                <c:pt idx="2">
                  <c:v>8012299.8308848664</c:v>
                </c:pt>
                <c:pt idx="3">
                  <c:v>6814602.6129704081</c:v>
                </c:pt>
                <c:pt idx="4">
                  <c:v>5728065.3829447944</c:v>
                </c:pt>
                <c:pt idx="5">
                  <c:v>4740921.2030934189</c:v>
                </c:pt>
                <c:pt idx="6">
                  <c:v>3842788.6846522745</c:v>
                </c:pt>
                <c:pt idx="7">
                  <c:v>3024494.2121423613</c:v>
                </c:pt>
                <c:pt idx="8">
                  <c:v>2277918.6807520716</c:v>
                </c:pt>
                <c:pt idx="9">
                  <c:v>1595865.149078913</c:v>
                </c:pt>
                <c:pt idx="10">
                  <c:v>971944.36763096228</c:v>
                </c:pt>
              </c:numCache>
            </c:numRef>
          </c:val>
          <c:smooth val="0"/>
          <c:extLst>
            <c:ext xmlns:c16="http://schemas.microsoft.com/office/drawing/2014/chart" uri="{C3380CC4-5D6E-409C-BE32-E72D297353CC}">
              <c16:uniqueId val="{00000002-1951-4372-865E-2619365DF065}"/>
            </c:ext>
          </c:extLst>
        </c:ser>
        <c:ser>
          <c:idx val="5"/>
          <c:order val="3"/>
          <c:tx>
            <c:strRef>
              <c:f>sensitivity!$A$6</c:f>
              <c:strCache>
                <c:ptCount val="1"/>
                <c:pt idx="0">
                  <c:v>Inflation Rate</c:v>
                </c:pt>
              </c:strCache>
            </c:strRef>
          </c:tx>
          <c:spPr>
            <a:ln w="25400">
              <a:solidFill>
                <a:srgbClr val="FF0000"/>
              </a:solidFill>
            </a:ln>
          </c:spPr>
          <c:marker>
            <c:symbol val="circle"/>
            <c:size val="5"/>
            <c:spPr>
              <a:solidFill>
                <a:srgbClr val="FF0000"/>
              </a:solidFill>
              <a:ln>
                <a:solidFill>
                  <a:srgbClr val="C0000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sensitivity!$C$6:$M$6</c:f>
              <c:numCache>
                <c:formatCode>0.0</c:formatCode>
                <c:ptCount val="11"/>
                <c:pt idx="0">
                  <c:v>2902835.4062460205</c:v>
                </c:pt>
                <c:pt idx="1">
                  <c:v>3247058.2693214817</c:v>
                </c:pt>
                <c:pt idx="2">
                  <c:v>3602608.5873465016</c:v>
                </c:pt>
                <c:pt idx="3">
                  <c:v>3969850.3064178564</c:v>
                </c:pt>
                <c:pt idx="4">
                  <c:v>4349158.7992134634</c:v>
                </c:pt>
                <c:pt idx="5">
                  <c:v>4740921.2030934189</c:v>
                </c:pt>
                <c:pt idx="6">
                  <c:v>5145536.7673708815</c:v>
                </c:pt>
                <c:pt idx="7">
                  <c:v>5563417.209974952</c:v>
                </c:pt>
                <c:pt idx="8">
                  <c:v>5994987.0837324578</c:v>
                </c:pt>
                <c:pt idx="9">
                  <c:v>6440684.152500255</c:v>
                </c:pt>
                <c:pt idx="10">
                  <c:v>6900959.7773849182</c:v>
                </c:pt>
              </c:numCache>
            </c:numRef>
          </c:val>
          <c:smooth val="0"/>
          <c:extLst>
            <c:ext xmlns:c16="http://schemas.microsoft.com/office/drawing/2014/chart" uri="{C3380CC4-5D6E-409C-BE32-E72D297353CC}">
              <c16:uniqueId val="{00000003-1951-4372-865E-2619365DF065}"/>
            </c:ext>
          </c:extLst>
        </c:ser>
        <c:ser>
          <c:idx val="6"/>
          <c:order val="4"/>
          <c:tx>
            <c:strRef>
              <c:f>sensitivity!$A$7</c:f>
              <c:strCache>
                <c:ptCount val="1"/>
                <c:pt idx="0">
                  <c:v>Sales unit after three years</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1951-4372-865E-2619365DF065}"/>
              </c:ext>
            </c:extLst>
          </c:dPt>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51-4372-865E-2619365DF065}"/>
                </c:ext>
              </c:extLst>
            </c:dLbl>
            <c:numFmt formatCode="#,##0.0" sourceLinked="0"/>
            <c:spPr>
              <a:noFill/>
              <a:ln>
                <a:noFill/>
              </a:ln>
              <a:effectLst/>
            </c:spPr>
            <c:txPr>
              <a:bodyPr/>
              <a:lstStyle/>
              <a:p>
                <a:pPr>
                  <a:defRPr b="1"/>
                </a:pPr>
                <a:endParaRPr lang="fi-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sensitivity!$C$7:$M$7</c:f>
              <c:numCache>
                <c:formatCode>0.0</c:formatCode>
                <c:ptCount val="11"/>
                <c:pt idx="0">
                  <c:v>-199858.57813660987</c:v>
                </c:pt>
                <c:pt idx="1">
                  <c:v>788297.3781093955</c:v>
                </c:pt>
                <c:pt idx="2">
                  <c:v>1776453.3343554009</c:v>
                </c:pt>
                <c:pt idx="3">
                  <c:v>2764609.2906014072</c:v>
                </c:pt>
                <c:pt idx="4">
                  <c:v>3752765.2468474135</c:v>
                </c:pt>
                <c:pt idx="5">
                  <c:v>4740921.2030934189</c:v>
                </c:pt>
                <c:pt idx="6">
                  <c:v>5729077.1593394261</c:v>
                </c:pt>
                <c:pt idx="7">
                  <c:v>6717233.1155854315</c:v>
                </c:pt>
                <c:pt idx="8">
                  <c:v>7705389.0718314406</c:v>
                </c:pt>
                <c:pt idx="9">
                  <c:v>8693545.0280774441</c:v>
                </c:pt>
                <c:pt idx="10">
                  <c:v>9681700.9843234513</c:v>
                </c:pt>
              </c:numCache>
            </c:numRef>
          </c:val>
          <c:smooth val="0"/>
          <c:extLst>
            <c:ext xmlns:c16="http://schemas.microsoft.com/office/drawing/2014/chart" uri="{C3380CC4-5D6E-409C-BE32-E72D297353CC}">
              <c16:uniqueId val="{00000005-1951-4372-865E-2619365DF065}"/>
            </c:ext>
          </c:extLst>
        </c:ser>
        <c:dLbls>
          <c:showLegendKey val="0"/>
          <c:showVal val="0"/>
          <c:showCatName val="0"/>
          <c:showSerName val="0"/>
          <c:showPercent val="0"/>
          <c:showBubbleSize val="0"/>
        </c:dLbls>
        <c:marker val="1"/>
        <c:smooth val="0"/>
        <c:axId val="267769344"/>
        <c:axId val="267770520"/>
      </c:lineChart>
      <c:catAx>
        <c:axId val="267769344"/>
        <c:scaling>
          <c:orientation val="minMax"/>
        </c:scaling>
        <c:delete val="0"/>
        <c:axPos val="b"/>
        <c:numFmt formatCode="0%" sourceLinked="1"/>
        <c:majorTickMark val="out"/>
        <c:minorTickMark val="none"/>
        <c:tickLblPos val="nextTo"/>
        <c:crossAx val="267770520"/>
        <c:crossesAt val="-100000000"/>
        <c:auto val="1"/>
        <c:lblAlgn val="ctr"/>
        <c:lblOffset val="100"/>
        <c:noMultiLvlLbl val="0"/>
      </c:catAx>
      <c:valAx>
        <c:axId val="267770520"/>
        <c:scaling>
          <c:orientation val="minMax"/>
        </c:scaling>
        <c:delete val="0"/>
        <c:axPos val="l"/>
        <c:majorGridlines/>
        <c:numFmt formatCode="0" sourceLinked="0"/>
        <c:majorTickMark val="out"/>
        <c:minorTickMark val="none"/>
        <c:tickLblPos val="nextTo"/>
        <c:crossAx val="267769344"/>
        <c:crosses val="autoZero"/>
        <c:crossBetween val="between"/>
      </c:valAx>
    </c:plotArea>
    <c:legend>
      <c:legendPos val="r"/>
      <c:layout>
        <c:manualLayout>
          <c:xMode val="edge"/>
          <c:yMode val="edge"/>
          <c:x val="0.41036015317278662"/>
          <c:y val="0.59570015921324826"/>
          <c:w val="0.44269928706755884"/>
          <c:h val="0.28406315097820478"/>
        </c:manualLayout>
      </c:layout>
      <c:overlay val="0"/>
      <c:spPr>
        <a:solidFill>
          <a:schemeClr val="bg1">
            <a:alpha val="50000"/>
          </a:schemeClr>
        </a:solidFill>
      </c:spPr>
      <c:txPr>
        <a:bodyPr/>
        <a:lstStyle/>
        <a:p>
          <a:pPr>
            <a:defRPr sz="900"/>
          </a:pPr>
          <a:endParaRPr lang="fi-FI"/>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sensitivity!$O$1</c:f>
          <c:strCache>
            <c:ptCount val="1"/>
            <c:pt idx="0">
              <c:v>Profitability Index</c:v>
            </c:pt>
          </c:strCache>
        </c:strRef>
      </c:tx>
      <c:layout>
        <c:manualLayout>
          <c:xMode val="edge"/>
          <c:yMode val="edge"/>
          <c:x val="0.41489911987705291"/>
          <c:y val="2.7777777777777776E-2"/>
        </c:manualLayout>
      </c:layout>
      <c:overlay val="0"/>
      <c:txPr>
        <a:bodyPr/>
        <a:lstStyle/>
        <a:p>
          <a:pPr>
            <a:defRPr sz="1200"/>
          </a:pPr>
          <a:endParaRPr lang="fi-FI"/>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sensitivity!$O$3:$Y$3</c:f>
              <c:numCache>
                <c:formatCode>0.00</c:formatCode>
                <c:ptCount val="11"/>
                <c:pt idx="0">
                  <c:v>1.9604557566729786</c:v>
                </c:pt>
                <c:pt idx="1">
                  <c:v>1.8631830294002514</c:v>
                </c:pt>
                <c:pt idx="2">
                  <c:v>1.7659103021275238</c:v>
                </c:pt>
                <c:pt idx="3">
                  <c:v>1.6686375748547968</c:v>
                </c:pt>
                <c:pt idx="4">
                  <c:v>1.5713648475820692</c:v>
                </c:pt>
                <c:pt idx="5">
                  <c:v>1.4740921203093418</c:v>
                </c:pt>
                <c:pt idx="6">
                  <c:v>1.3768193930366146</c:v>
                </c:pt>
                <c:pt idx="7">
                  <c:v>1.2795466657638874</c:v>
                </c:pt>
                <c:pt idx="8">
                  <c:v>1.1822739384911602</c:v>
                </c:pt>
                <c:pt idx="9">
                  <c:v>1.0850012112184328</c:v>
                </c:pt>
                <c:pt idx="10">
                  <c:v>0.98772848394570556</c:v>
                </c:pt>
              </c:numCache>
            </c:numRef>
          </c:val>
          <c:smooth val="0"/>
          <c:extLst>
            <c:ext xmlns:c16="http://schemas.microsoft.com/office/drawing/2014/chart" uri="{C3380CC4-5D6E-409C-BE32-E72D297353CC}">
              <c16:uniqueId val="{00000000-FEB7-41C0-AFD2-BCBAD2EA51C0}"/>
            </c:ext>
          </c:extLst>
        </c:ser>
        <c:ser>
          <c:idx val="3"/>
          <c:order val="1"/>
          <c:tx>
            <c:strRef>
              <c:f>sensitivity!$A$4</c:f>
              <c:strCache>
                <c:ptCount val="1"/>
                <c:pt idx="0">
                  <c:v>Sales price per bottle</c:v>
                </c:pt>
              </c:strCache>
            </c:strRef>
          </c:tx>
          <c:spPr>
            <a:ln w="25400">
              <a:solidFill>
                <a:srgbClr val="92D050"/>
              </a:solidFill>
            </a:ln>
          </c:spPr>
          <c:marker>
            <c:symbol val="circle"/>
            <c:size val="5"/>
            <c:spPr>
              <a:solidFill>
                <a:srgbClr val="92D050"/>
              </a:solidFill>
              <a:ln>
                <a:solidFill>
                  <a:srgbClr val="00B05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sensitivity!$O$4:$Y$4</c:f>
              <c:numCache>
                <c:formatCode>0.00</c:formatCode>
                <c:ptCount val="11"/>
                <c:pt idx="0">
                  <c:v>1.2710488877432604</c:v>
                </c:pt>
                <c:pt idx="1">
                  <c:v>1.3116575342564767</c:v>
                </c:pt>
                <c:pt idx="2">
                  <c:v>1.3522661807696932</c:v>
                </c:pt>
                <c:pt idx="3">
                  <c:v>1.3928748272829092</c:v>
                </c:pt>
                <c:pt idx="4">
                  <c:v>1.4334834737961257</c:v>
                </c:pt>
                <c:pt idx="5">
                  <c:v>1.4740921203093418</c:v>
                </c:pt>
                <c:pt idx="6">
                  <c:v>1.5147007668225583</c:v>
                </c:pt>
                <c:pt idx="7">
                  <c:v>1.5553094133357748</c:v>
                </c:pt>
                <c:pt idx="8">
                  <c:v>1.595918059848991</c:v>
                </c:pt>
                <c:pt idx="9">
                  <c:v>1.6365267063622073</c:v>
                </c:pt>
                <c:pt idx="10">
                  <c:v>1.6771353528754236</c:v>
                </c:pt>
              </c:numCache>
            </c:numRef>
          </c:val>
          <c:smooth val="0"/>
          <c:extLst>
            <c:ext xmlns:c16="http://schemas.microsoft.com/office/drawing/2014/chart" uri="{C3380CC4-5D6E-409C-BE32-E72D297353CC}">
              <c16:uniqueId val="{00000001-FEB7-41C0-AFD2-BCBAD2EA51C0}"/>
            </c:ext>
          </c:extLst>
        </c:ser>
        <c:ser>
          <c:idx val="4"/>
          <c:order val="2"/>
          <c:tx>
            <c:strRef>
              <c:f>sensitivity!$A$5</c:f>
              <c:strCache>
                <c:ptCount val="1"/>
                <c:pt idx="0">
                  <c:v>Nominal Discount Rate</c:v>
                </c:pt>
              </c:strCache>
            </c:strRef>
          </c:tx>
          <c:spPr>
            <a:ln w="25400">
              <a:solidFill>
                <a:srgbClr val="FFC000"/>
              </a:solidFill>
            </a:ln>
          </c:spPr>
          <c:marker>
            <c:symbol val="circle"/>
            <c:size val="5"/>
            <c:spPr>
              <a:solidFill>
                <a:srgbClr val="FFC000"/>
              </a:solidFill>
              <a:ln>
                <a:solidFill>
                  <a:schemeClr val="accent6"/>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sensitivity!$O$5:$Y$5</c:f>
              <c:numCache>
                <c:formatCode>0.00</c:formatCode>
                <c:ptCount val="11"/>
                <c:pt idx="0">
                  <c:v>2.0796442898265957</c:v>
                </c:pt>
                <c:pt idx="1">
                  <c:v>1.9334516077794641</c:v>
                </c:pt>
                <c:pt idx="2">
                  <c:v>1.8012299830884868</c:v>
                </c:pt>
                <c:pt idx="3">
                  <c:v>1.6814602612970408</c:v>
                </c:pt>
                <c:pt idx="4">
                  <c:v>1.5728065382944796</c:v>
                </c:pt>
                <c:pt idx="5">
                  <c:v>1.4740921203093418</c:v>
                </c:pt>
                <c:pt idx="6">
                  <c:v>1.3842788684652274</c:v>
                </c:pt>
                <c:pt idx="7">
                  <c:v>1.3024494212142361</c:v>
                </c:pt>
                <c:pt idx="8">
                  <c:v>1.2277918680752071</c:v>
                </c:pt>
                <c:pt idx="9">
                  <c:v>1.1595865149078912</c:v>
                </c:pt>
                <c:pt idx="10">
                  <c:v>1.0971944367630961</c:v>
                </c:pt>
              </c:numCache>
            </c:numRef>
          </c:val>
          <c:smooth val="0"/>
          <c:extLst>
            <c:ext xmlns:c16="http://schemas.microsoft.com/office/drawing/2014/chart" uri="{C3380CC4-5D6E-409C-BE32-E72D297353CC}">
              <c16:uniqueId val="{00000002-FEB7-41C0-AFD2-BCBAD2EA51C0}"/>
            </c:ext>
          </c:extLst>
        </c:ser>
        <c:ser>
          <c:idx val="5"/>
          <c:order val="3"/>
          <c:tx>
            <c:strRef>
              <c:f>sensitivity!$A$6</c:f>
              <c:strCache>
                <c:ptCount val="1"/>
                <c:pt idx="0">
                  <c:v>Inflation Rate</c:v>
                </c:pt>
              </c:strCache>
            </c:strRef>
          </c:tx>
          <c:spPr>
            <a:ln w="25400">
              <a:solidFill>
                <a:srgbClr val="FF0000"/>
              </a:solidFill>
            </a:ln>
          </c:spPr>
          <c:marker>
            <c:symbol val="circle"/>
            <c:size val="5"/>
            <c:spPr>
              <a:solidFill>
                <a:srgbClr val="FF0000"/>
              </a:solidFill>
              <a:ln>
                <a:solidFill>
                  <a:srgbClr val="C0000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sensitivity!$O$6:$Y$6</c:f>
              <c:numCache>
                <c:formatCode>0.00</c:formatCode>
                <c:ptCount val="11"/>
                <c:pt idx="0">
                  <c:v>1.290283540624602</c:v>
                </c:pt>
                <c:pt idx="1">
                  <c:v>1.3247058269321481</c:v>
                </c:pt>
                <c:pt idx="2">
                  <c:v>1.3602608587346503</c:v>
                </c:pt>
                <c:pt idx="3">
                  <c:v>1.3969850306417857</c:v>
                </c:pt>
                <c:pt idx="4">
                  <c:v>1.4349158799213464</c:v>
                </c:pt>
                <c:pt idx="5">
                  <c:v>1.4740921203093418</c:v>
                </c:pt>
                <c:pt idx="6">
                  <c:v>1.5145536767370882</c:v>
                </c:pt>
                <c:pt idx="7">
                  <c:v>1.5563417209974952</c:v>
                </c:pt>
                <c:pt idx="8">
                  <c:v>1.5994987083732459</c:v>
                </c:pt>
                <c:pt idx="9">
                  <c:v>1.6440684152500253</c:v>
                </c:pt>
                <c:pt idx="10">
                  <c:v>1.6900959777384919</c:v>
                </c:pt>
              </c:numCache>
            </c:numRef>
          </c:val>
          <c:smooth val="0"/>
          <c:extLst>
            <c:ext xmlns:c16="http://schemas.microsoft.com/office/drawing/2014/chart" uri="{C3380CC4-5D6E-409C-BE32-E72D297353CC}">
              <c16:uniqueId val="{00000003-FEB7-41C0-AFD2-BCBAD2EA51C0}"/>
            </c:ext>
          </c:extLst>
        </c:ser>
        <c:ser>
          <c:idx val="6"/>
          <c:order val="4"/>
          <c:tx>
            <c:strRef>
              <c:f>sensitivity!$A$7</c:f>
              <c:strCache>
                <c:ptCount val="1"/>
                <c:pt idx="0">
                  <c:v>Sales unit after three years</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FEB7-41C0-AFD2-BCBAD2EA51C0}"/>
              </c:ext>
            </c:extLst>
          </c:dPt>
          <c:dLbls>
            <c:dLbl>
              <c:idx val="5"/>
              <c:layout>
                <c:manualLayout>
                  <c:x val="-4.655781031543519E-2"/>
                  <c:y val="-6.52894429862933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EB7-41C0-AFD2-BCBAD2EA51C0}"/>
                </c:ext>
              </c:extLst>
            </c:dLbl>
            <c:numFmt formatCode="0.0%" sourceLinked="0"/>
            <c:spPr>
              <a:noFill/>
              <a:ln>
                <a:noFill/>
              </a:ln>
              <a:effectLst/>
            </c:spPr>
            <c:txPr>
              <a:bodyPr/>
              <a:lstStyle/>
              <a:p>
                <a:pPr>
                  <a:defRPr b="1"/>
                </a:pPr>
                <a:endParaRPr lang="fi-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sensitivity!$O$7:$Y$7</c:f>
              <c:numCache>
                <c:formatCode>0.00</c:formatCode>
                <c:ptCount val="11"/>
                <c:pt idx="0">
                  <c:v>0.98001414218633898</c:v>
                </c:pt>
                <c:pt idx="1">
                  <c:v>1.0788297378109395</c:v>
                </c:pt>
                <c:pt idx="2">
                  <c:v>1.1776453334355401</c:v>
                </c:pt>
                <c:pt idx="3">
                  <c:v>1.2764609290601407</c:v>
                </c:pt>
                <c:pt idx="4">
                  <c:v>1.3752765246847414</c:v>
                </c:pt>
                <c:pt idx="5">
                  <c:v>1.4740921203093418</c:v>
                </c:pt>
                <c:pt idx="6">
                  <c:v>1.5729077159339426</c:v>
                </c:pt>
                <c:pt idx="7">
                  <c:v>1.671723311558543</c:v>
                </c:pt>
                <c:pt idx="8">
                  <c:v>1.7705389071831441</c:v>
                </c:pt>
                <c:pt idx="9">
                  <c:v>1.8693545028077443</c:v>
                </c:pt>
                <c:pt idx="10">
                  <c:v>1.9681700984323451</c:v>
                </c:pt>
              </c:numCache>
            </c:numRef>
          </c:val>
          <c:smooth val="0"/>
          <c:extLst>
            <c:ext xmlns:c16="http://schemas.microsoft.com/office/drawing/2014/chart" uri="{C3380CC4-5D6E-409C-BE32-E72D297353CC}">
              <c16:uniqueId val="{00000005-FEB7-41C0-AFD2-BCBAD2EA51C0}"/>
            </c:ext>
          </c:extLst>
        </c:ser>
        <c:dLbls>
          <c:showLegendKey val="0"/>
          <c:showVal val="0"/>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out"/>
        <c:minorTickMark val="none"/>
        <c:tickLblPos val="nextTo"/>
        <c:crossAx val="267771696"/>
        <c:crossesAt val="-100000000"/>
        <c:auto val="1"/>
        <c:lblAlgn val="ctr"/>
        <c:lblOffset val="100"/>
        <c:noMultiLvlLbl val="0"/>
      </c:catAx>
      <c:valAx>
        <c:axId val="267771696"/>
        <c:scaling>
          <c:orientation val="minMax"/>
        </c:scaling>
        <c:delete val="0"/>
        <c:axPos val="l"/>
        <c:majorGridlines/>
        <c:numFmt formatCode="0%" sourceLinked="0"/>
        <c:majorTickMark val="out"/>
        <c:minorTickMark val="none"/>
        <c:tickLblPos val="nextTo"/>
        <c:crossAx val="267771304"/>
        <c:crosses val="autoZero"/>
        <c:crossBetween val="between"/>
      </c:valAx>
    </c:plotArea>
    <c:legend>
      <c:legendPos val="r"/>
      <c:layout>
        <c:manualLayout>
          <c:xMode val="edge"/>
          <c:yMode val="edge"/>
          <c:x val="0.41267818747969437"/>
          <c:y val="0.62828594342373867"/>
          <c:w val="0.45751189133347203"/>
          <c:h val="0.2467140565762613"/>
        </c:manualLayout>
      </c:layout>
      <c:overlay val="0"/>
      <c:spPr>
        <a:solidFill>
          <a:schemeClr val="bg1">
            <a:alpha val="50000"/>
          </a:schemeClr>
        </a:solidFill>
      </c:spPr>
      <c:txPr>
        <a:bodyPr/>
        <a:lstStyle/>
        <a:p>
          <a:pPr>
            <a:defRPr sz="900"/>
          </a:pPr>
          <a:endParaRPr lang="fi-FI"/>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NPV</a:t>
            </a:r>
            <a:r>
              <a:rPr lang="en-GB"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clustered"/>
        <c:varyColors val="0"/>
        <c:ser>
          <c:idx val="0"/>
          <c:order val="0"/>
          <c:spPr>
            <a:solidFill>
              <a:schemeClr val="accent1"/>
            </a:solidFill>
            <a:ln>
              <a:noFill/>
            </a:ln>
            <a:effectLst/>
          </c:spPr>
          <c:invertIfNegative val="0"/>
          <c:cat>
            <c:numRef>
              <c:f>MC_hist!$D$2:$D$52</c:f>
              <c:numCache>
                <c:formatCode>General</c:formatCode>
                <c:ptCount val="51"/>
                <c:pt idx="0">
                  <c:v>0</c:v>
                </c:pt>
                <c:pt idx="1">
                  <c:v>200000</c:v>
                </c:pt>
                <c:pt idx="2">
                  <c:v>400000</c:v>
                </c:pt>
                <c:pt idx="3">
                  <c:v>600000</c:v>
                </c:pt>
                <c:pt idx="4">
                  <c:v>800000</c:v>
                </c:pt>
                <c:pt idx="5">
                  <c:v>1000000</c:v>
                </c:pt>
                <c:pt idx="6">
                  <c:v>1200000</c:v>
                </c:pt>
                <c:pt idx="7">
                  <c:v>1400000</c:v>
                </c:pt>
                <c:pt idx="8">
                  <c:v>1600000</c:v>
                </c:pt>
                <c:pt idx="9">
                  <c:v>1800000</c:v>
                </c:pt>
                <c:pt idx="10">
                  <c:v>2000000</c:v>
                </c:pt>
                <c:pt idx="11">
                  <c:v>2200000</c:v>
                </c:pt>
                <c:pt idx="12">
                  <c:v>2400000</c:v>
                </c:pt>
                <c:pt idx="13">
                  <c:v>2600000</c:v>
                </c:pt>
                <c:pt idx="14">
                  <c:v>2800000</c:v>
                </c:pt>
                <c:pt idx="15">
                  <c:v>3000000</c:v>
                </c:pt>
                <c:pt idx="16">
                  <c:v>3200000</c:v>
                </c:pt>
                <c:pt idx="17">
                  <c:v>3400000</c:v>
                </c:pt>
                <c:pt idx="18">
                  <c:v>3600000</c:v>
                </c:pt>
                <c:pt idx="19">
                  <c:v>3800000</c:v>
                </c:pt>
                <c:pt idx="20">
                  <c:v>4000000</c:v>
                </c:pt>
                <c:pt idx="21">
                  <c:v>4200000</c:v>
                </c:pt>
                <c:pt idx="22">
                  <c:v>4400000</c:v>
                </c:pt>
                <c:pt idx="23">
                  <c:v>4600000</c:v>
                </c:pt>
                <c:pt idx="24">
                  <c:v>4800000</c:v>
                </c:pt>
                <c:pt idx="25">
                  <c:v>5000000</c:v>
                </c:pt>
                <c:pt idx="26">
                  <c:v>5200000</c:v>
                </c:pt>
                <c:pt idx="27">
                  <c:v>5400000</c:v>
                </c:pt>
                <c:pt idx="28">
                  <c:v>5600000</c:v>
                </c:pt>
                <c:pt idx="29">
                  <c:v>5800000</c:v>
                </c:pt>
                <c:pt idx="30">
                  <c:v>6000000</c:v>
                </c:pt>
                <c:pt idx="31">
                  <c:v>6200000</c:v>
                </c:pt>
                <c:pt idx="32">
                  <c:v>6400000</c:v>
                </c:pt>
                <c:pt idx="33">
                  <c:v>6600000</c:v>
                </c:pt>
                <c:pt idx="34">
                  <c:v>6800000</c:v>
                </c:pt>
                <c:pt idx="35">
                  <c:v>7000000</c:v>
                </c:pt>
                <c:pt idx="36">
                  <c:v>7200000</c:v>
                </c:pt>
                <c:pt idx="37">
                  <c:v>7400000</c:v>
                </c:pt>
                <c:pt idx="38">
                  <c:v>7600000</c:v>
                </c:pt>
                <c:pt idx="39">
                  <c:v>7800000</c:v>
                </c:pt>
                <c:pt idx="40">
                  <c:v>8000000</c:v>
                </c:pt>
                <c:pt idx="41">
                  <c:v>8200000</c:v>
                </c:pt>
                <c:pt idx="42">
                  <c:v>8400000</c:v>
                </c:pt>
                <c:pt idx="43">
                  <c:v>8600000</c:v>
                </c:pt>
                <c:pt idx="44">
                  <c:v>8800000</c:v>
                </c:pt>
                <c:pt idx="45">
                  <c:v>9000000</c:v>
                </c:pt>
                <c:pt idx="46">
                  <c:v>9200000</c:v>
                </c:pt>
                <c:pt idx="47">
                  <c:v>9400000</c:v>
                </c:pt>
                <c:pt idx="48">
                  <c:v>9600000</c:v>
                </c:pt>
                <c:pt idx="49">
                  <c:v>9800000</c:v>
                </c:pt>
                <c:pt idx="50">
                  <c:v>10000000</c:v>
                </c:pt>
              </c:numCache>
            </c:numRef>
          </c:cat>
          <c:val>
            <c:numRef>
              <c:f>MC_hist!$F$2:$F$52</c:f>
              <c:numCache>
                <c:formatCode>0%</c:formatCode>
                <c:ptCount val="51"/>
                <c:pt idx="0">
                  <c:v>0</c:v>
                </c:pt>
                <c:pt idx="1">
                  <c:v>6.6666666666666666E-2</c:v>
                </c:pt>
                <c:pt idx="2">
                  <c:v>0</c:v>
                </c:pt>
                <c:pt idx="3">
                  <c:v>6.6666666666666666E-2</c:v>
                </c:pt>
                <c:pt idx="4">
                  <c:v>0</c:v>
                </c:pt>
                <c:pt idx="5">
                  <c:v>0</c:v>
                </c:pt>
                <c:pt idx="6">
                  <c:v>0</c:v>
                </c:pt>
                <c:pt idx="7">
                  <c:v>0</c:v>
                </c:pt>
                <c:pt idx="8">
                  <c:v>0</c:v>
                </c:pt>
                <c:pt idx="9">
                  <c:v>0</c:v>
                </c:pt>
                <c:pt idx="10">
                  <c:v>0</c:v>
                </c:pt>
                <c:pt idx="11">
                  <c:v>0</c:v>
                </c:pt>
                <c:pt idx="12">
                  <c:v>6.6666666666666666E-2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DC59-4DC9-8C20-BD4A9248EED8}"/>
            </c:ext>
          </c:extLst>
        </c:ser>
        <c:dLbls>
          <c:showLegendKey val="0"/>
          <c:showVal val="0"/>
          <c:showCatName val="0"/>
          <c:showSerName val="0"/>
          <c:showPercent val="0"/>
          <c:showBubbleSize val="0"/>
        </c:dLbls>
        <c:gapWidth val="219"/>
        <c:overlap val="-27"/>
        <c:axId val="959766960"/>
        <c:axId val="959767920"/>
      </c:barChart>
      <c:catAx>
        <c:axId val="95976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767920"/>
        <c:crosses val="autoZero"/>
        <c:auto val="1"/>
        <c:lblAlgn val="ctr"/>
        <c:lblOffset val="100"/>
        <c:noMultiLvlLbl val="0"/>
      </c:catAx>
      <c:valAx>
        <c:axId val="959767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7669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GB" sz="1400" b="0" i="0" u="none" strike="noStrike" baseline="0">
                <a:solidFill>
                  <a:sysClr val="windowText" lastClr="000000">
                    <a:lumMod val="65000"/>
                    <a:lumOff val="35000"/>
                  </a:sysClr>
                </a:solidFill>
                <a:latin typeface="Aptos Narrow" panose="02110004020202020204"/>
              </a:rPr>
              <a:t>IRR</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MC_hist!$K$2:$K$52</c:f>
              <c:numCache>
                <c:formatCode>General</c:formatCode>
                <c:ptCount val="51"/>
                <c:pt idx="0" formatCode="0">
                  <c:v>-10</c:v>
                </c:pt>
                <c:pt idx="1">
                  <c:v>-9.6</c:v>
                </c:pt>
                <c:pt idx="2">
                  <c:v>-9.1999999999999993</c:v>
                </c:pt>
                <c:pt idx="3">
                  <c:v>-8.7999999999999989</c:v>
                </c:pt>
                <c:pt idx="4">
                  <c:v>-8.3999999999999986</c:v>
                </c:pt>
                <c:pt idx="5">
                  <c:v>-7.9999999999999982</c:v>
                </c:pt>
                <c:pt idx="6">
                  <c:v>-7.5999999999999979</c:v>
                </c:pt>
                <c:pt idx="7">
                  <c:v>-7.1999999999999975</c:v>
                </c:pt>
                <c:pt idx="8">
                  <c:v>-6.7999999999999972</c:v>
                </c:pt>
                <c:pt idx="9">
                  <c:v>-6.3999999999999968</c:v>
                </c:pt>
                <c:pt idx="10">
                  <c:v>-5.9999999999999964</c:v>
                </c:pt>
                <c:pt idx="11">
                  <c:v>-5.5999999999999961</c:v>
                </c:pt>
                <c:pt idx="12">
                  <c:v>-5.1999999999999957</c:v>
                </c:pt>
                <c:pt idx="13">
                  <c:v>-4.7999999999999954</c:v>
                </c:pt>
                <c:pt idx="14">
                  <c:v>-4.399999999999995</c:v>
                </c:pt>
                <c:pt idx="15">
                  <c:v>-3.9999999999999951</c:v>
                </c:pt>
                <c:pt idx="16">
                  <c:v>-3.5999999999999952</c:v>
                </c:pt>
                <c:pt idx="17">
                  <c:v>-3.1999999999999953</c:v>
                </c:pt>
                <c:pt idx="18">
                  <c:v>-2.7999999999999954</c:v>
                </c:pt>
                <c:pt idx="19">
                  <c:v>-2.3999999999999955</c:v>
                </c:pt>
                <c:pt idx="20">
                  <c:v>-1.9999999999999956</c:v>
                </c:pt>
                <c:pt idx="21">
                  <c:v>-1.5999999999999956</c:v>
                </c:pt>
                <c:pt idx="22">
                  <c:v>-1.1999999999999957</c:v>
                </c:pt>
                <c:pt idx="23">
                  <c:v>-0.79999999999999571</c:v>
                </c:pt>
                <c:pt idx="24">
                  <c:v>-0.39999999999999569</c:v>
                </c:pt>
                <c:pt idx="25">
                  <c:v>4.3298697960381105E-15</c:v>
                </c:pt>
                <c:pt idx="26">
                  <c:v>0.40000000000000435</c:v>
                </c:pt>
                <c:pt idx="27">
                  <c:v>0.80000000000000437</c:v>
                </c:pt>
                <c:pt idx="28">
                  <c:v>1.2000000000000044</c:v>
                </c:pt>
                <c:pt idx="29">
                  <c:v>1.6000000000000045</c:v>
                </c:pt>
                <c:pt idx="30">
                  <c:v>2.0000000000000044</c:v>
                </c:pt>
                <c:pt idx="31">
                  <c:v>2.4000000000000044</c:v>
                </c:pt>
                <c:pt idx="32">
                  <c:v>2.8000000000000043</c:v>
                </c:pt>
                <c:pt idx="33">
                  <c:v>3.2000000000000042</c:v>
                </c:pt>
                <c:pt idx="34">
                  <c:v>3.6000000000000041</c:v>
                </c:pt>
                <c:pt idx="35">
                  <c:v>4.0000000000000044</c:v>
                </c:pt>
                <c:pt idx="36">
                  <c:v>4.4000000000000048</c:v>
                </c:pt>
                <c:pt idx="37">
                  <c:v>4.8000000000000052</c:v>
                </c:pt>
                <c:pt idx="38">
                  <c:v>5.2000000000000055</c:v>
                </c:pt>
                <c:pt idx="39">
                  <c:v>5.6000000000000059</c:v>
                </c:pt>
                <c:pt idx="40">
                  <c:v>6.0000000000000062</c:v>
                </c:pt>
                <c:pt idx="41">
                  <c:v>6.4000000000000066</c:v>
                </c:pt>
                <c:pt idx="42">
                  <c:v>6.8000000000000069</c:v>
                </c:pt>
                <c:pt idx="43">
                  <c:v>7.2000000000000073</c:v>
                </c:pt>
                <c:pt idx="44">
                  <c:v>7.6000000000000076</c:v>
                </c:pt>
                <c:pt idx="45">
                  <c:v>8.0000000000000071</c:v>
                </c:pt>
                <c:pt idx="46">
                  <c:v>8.4000000000000075</c:v>
                </c:pt>
                <c:pt idx="47">
                  <c:v>8.8000000000000078</c:v>
                </c:pt>
                <c:pt idx="48">
                  <c:v>9.2000000000000082</c:v>
                </c:pt>
                <c:pt idx="49">
                  <c:v>9.6000000000000085</c:v>
                </c:pt>
                <c:pt idx="50">
                  <c:v>10.000000000000009</c:v>
                </c:pt>
              </c:numCache>
            </c:numRef>
          </c:cat>
          <c:val>
            <c:numRef>
              <c:f>MC_hist!$M$2:$M$52</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F7E1-4C86-8D98-C84DA43CAEBE}"/>
            </c:ext>
          </c:extLst>
        </c:ser>
        <c:dLbls>
          <c:showLegendKey val="0"/>
          <c:showVal val="0"/>
          <c:showCatName val="0"/>
          <c:showSerName val="0"/>
          <c:showPercent val="0"/>
          <c:showBubbleSize val="0"/>
        </c:dLbls>
        <c:gapWidth val="0"/>
        <c:axId val="885776160"/>
        <c:axId val="885773760"/>
      </c:barChart>
      <c:catAx>
        <c:axId val="885776160"/>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885773760"/>
        <c:crosses val="autoZero"/>
        <c:auto val="1"/>
        <c:lblAlgn val="ctr"/>
        <c:lblOffset val="100"/>
        <c:noMultiLvlLbl val="0"/>
      </c:catAx>
      <c:valAx>
        <c:axId val="8857737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885776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MC_hist!$R$2:$R$52</c:f>
              <c:numCache>
                <c:formatCode>General</c:formatCode>
                <c:ptCount val="51"/>
                <c:pt idx="0">
                  <c:v>-10</c:v>
                </c:pt>
                <c:pt idx="1">
                  <c:v>-9.6</c:v>
                </c:pt>
                <c:pt idx="2">
                  <c:v>-9.1999999999999993</c:v>
                </c:pt>
                <c:pt idx="3">
                  <c:v>-8.7999999999999989</c:v>
                </c:pt>
                <c:pt idx="4">
                  <c:v>-8.3999999999999986</c:v>
                </c:pt>
                <c:pt idx="5">
                  <c:v>-7.9999999999999982</c:v>
                </c:pt>
                <c:pt idx="6">
                  <c:v>-7.5999999999999979</c:v>
                </c:pt>
                <c:pt idx="7">
                  <c:v>-7.1999999999999975</c:v>
                </c:pt>
                <c:pt idx="8">
                  <c:v>-6.7999999999999972</c:v>
                </c:pt>
                <c:pt idx="9">
                  <c:v>-6.3999999999999968</c:v>
                </c:pt>
                <c:pt idx="10">
                  <c:v>-5.9999999999999964</c:v>
                </c:pt>
                <c:pt idx="11">
                  <c:v>-5.5999999999999961</c:v>
                </c:pt>
                <c:pt idx="12">
                  <c:v>-5.1999999999999957</c:v>
                </c:pt>
                <c:pt idx="13">
                  <c:v>-4.7999999999999954</c:v>
                </c:pt>
                <c:pt idx="14">
                  <c:v>-4.399999999999995</c:v>
                </c:pt>
                <c:pt idx="15">
                  <c:v>-3.9999999999999951</c:v>
                </c:pt>
                <c:pt idx="16">
                  <c:v>-3.5999999999999952</c:v>
                </c:pt>
                <c:pt idx="17">
                  <c:v>-3.1999999999999953</c:v>
                </c:pt>
                <c:pt idx="18">
                  <c:v>-2.7999999999999954</c:v>
                </c:pt>
                <c:pt idx="19">
                  <c:v>-2.3999999999999955</c:v>
                </c:pt>
                <c:pt idx="20">
                  <c:v>-1.9999999999999956</c:v>
                </c:pt>
                <c:pt idx="21">
                  <c:v>-1.5999999999999956</c:v>
                </c:pt>
                <c:pt idx="22">
                  <c:v>-1.1999999999999957</c:v>
                </c:pt>
                <c:pt idx="23">
                  <c:v>-0.79999999999999571</c:v>
                </c:pt>
                <c:pt idx="24">
                  <c:v>-0.39999999999999569</c:v>
                </c:pt>
                <c:pt idx="25">
                  <c:v>4.3298697960381105E-15</c:v>
                </c:pt>
                <c:pt idx="26">
                  <c:v>0.40000000000000435</c:v>
                </c:pt>
                <c:pt idx="27">
                  <c:v>0.80000000000000437</c:v>
                </c:pt>
                <c:pt idx="28">
                  <c:v>1.2000000000000044</c:v>
                </c:pt>
                <c:pt idx="29">
                  <c:v>1.6000000000000045</c:v>
                </c:pt>
                <c:pt idx="30">
                  <c:v>2.0000000000000044</c:v>
                </c:pt>
                <c:pt idx="31">
                  <c:v>2.4000000000000044</c:v>
                </c:pt>
                <c:pt idx="32">
                  <c:v>2.8000000000000043</c:v>
                </c:pt>
                <c:pt idx="33">
                  <c:v>3.2000000000000042</c:v>
                </c:pt>
                <c:pt idx="34">
                  <c:v>3.6000000000000041</c:v>
                </c:pt>
                <c:pt idx="35">
                  <c:v>4.0000000000000044</c:v>
                </c:pt>
                <c:pt idx="36">
                  <c:v>4.4000000000000048</c:v>
                </c:pt>
                <c:pt idx="37">
                  <c:v>4.8000000000000052</c:v>
                </c:pt>
                <c:pt idx="38">
                  <c:v>5.2000000000000055</c:v>
                </c:pt>
                <c:pt idx="39">
                  <c:v>5.6000000000000059</c:v>
                </c:pt>
                <c:pt idx="40">
                  <c:v>6.0000000000000062</c:v>
                </c:pt>
                <c:pt idx="41">
                  <c:v>6.4000000000000066</c:v>
                </c:pt>
                <c:pt idx="42">
                  <c:v>6.8000000000000069</c:v>
                </c:pt>
                <c:pt idx="43">
                  <c:v>7.2000000000000073</c:v>
                </c:pt>
                <c:pt idx="44">
                  <c:v>7.6000000000000076</c:v>
                </c:pt>
                <c:pt idx="45">
                  <c:v>8.0000000000000071</c:v>
                </c:pt>
                <c:pt idx="46">
                  <c:v>8.4000000000000075</c:v>
                </c:pt>
                <c:pt idx="47">
                  <c:v>8.8000000000000078</c:v>
                </c:pt>
                <c:pt idx="48">
                  <c:v>9.2000000000000082</c:v>
                </c:pt>
                <c:pt idx="49">
                  <c:v>9.6000000000000085</c:v>
                </c:pt>
                <c:pt idx="50">
                  <c:v>10.000000000000009</c:v>
                </c:pt>
              </c:numCache>
            </c:numRef>
          </c:cat>
          <c:val>
            <c:numRef>
              <c:f>MC_hist!$T$2:$T$52</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0.2</c:v>
                </c:pt>
                <c:pt idx="27">
                  <c:v>0.73333333333333328</c:v>
                </c:pt>
                <c:pt idx="28">
                  <c:v>6.6666666666666666E-2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9E3A-48F2-A6B5-BD84B48391AB}"/>
            </c:ext>
          </c:extLst>
        </c:ser>
        <c:dLbls>
          <c:showLegendKey val="0"/>
          <c:showVal val="0"/>
          <c:showCatName val="0"/>
          <c:showSerName val="0"/>
          <c:showPercent val="0"/>
          <c:showBubbleSize val="0"/>
        </c:dLbls>
        <c:gapWidth val="219"/>
        <c:overlap val="-27"/>
        <c:axId val="885783840"/>
        <c:axId val="885778080"/>
      </c:barChart>
      <c:catAx>
        <c:axId val="88578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78080"/>
        <c:crosses val="autoZero"/>
        <c:auto val="1"/>
        <c:lblAlgn val="ctr"/>
        <c:lblOffset val="100"/>
        <c:noMultiLvlLbl val="0"/>
      </c:catAx>
      <c:valAx>
        <c:axId val="885778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83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Payback</a:t>
            </a:r>
            <a:r>
              <a:rPr lang="en-GB" baseline="0"/>
              <a:t> Period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clustered"/>
        <c:varyColors val="0"/>
        <c:ser>
          <c:idx val="0"/>
          <c:order val="0"/>
          <c:spPr>
            <a:solidFill>
              <a:schemeClr val="accent1"/>
            </a:solidFill>
            <a:ln>
              <a:noFill/>
            </a:ln>
            <a:effectLst/>
          </c:spPr>
          <c:invertIfNegative val="0"/>
          <c:cat>
            <c:numRef>
              <c:f>MC_hist!$Y$2:$Y$52</c:f>
              <c:numCache>
                <c:formatCode>General</c:formatCode>
                <c:ptCount val="51"/>
                <c:pt idx="0">
                  <c:v>-100</c:v>
                </c:pt>
                <c:pt idx="1">
                  <c:v>-96</c:v>
                </c:pt>
                <c:pt idx="2">
                  <c:v>-92</c:v>
                </c:pt>
                <c:pt idx="3">
                  <c:v>-88</c:v>
                </c:pt>
                <c:pt idx="4">
                  <c:v>-84</c:v>
                </c:pt>
                <c:pt idx="5">
                  <c:v>-80</c:v>
                </c:pt>
                <c:pt idx="6">
                  <c:v>-76</c:v>
                </c:pt>
                <c:pt idx="7">
                  <c:v>-72</c:v>
                </c:pt>
                <c:pt idx="8">
                  <c:v>-68</c:v>
                </c:pt>
                <c:pt idx="9">
                  <c:v>-64</c:v>
                </c:pt>
                <c:pt idx="10">
                  <c:v>-60</c:v>
                </c:pt>
                <c:pt idx="11">
                  <c:v>-56</c:v>
                </c:pt>
                <c:pt idx="12">
                  <c:v>-52</c:v>
                </c:pt>
                <c:pt idx="13">
                  <c:v>-48</c:v>
                </c:pt>
                <c:pt idx="14">
                  <c:v>-44</c:v>
                </c:pt>
                <c:pt idx="15">
                  <c:v>-40</c:v>
                </c:pt>
                <c:pt idx="16">
                  <c:v>-36</c:v>
                </c:pt>
                <c:pt idx="17">
                  <c:v>-32</c:v>
                </c:pt>
                <c:pt idx="18">
                  <c:v>-28</c:v>
                </c:pt>
                <c:pt idx="19">
                  <c:v>-24</c:v>
                </c:pt>
                <c:pt idx="20">
                  <c:v>-20</c:v>
                </c:pt>
                <c:pt idx="21">
                  <c:v>-16</c:v>
                </c:pt>
                <c:pt idx="22">
                  <c:v>-12</c:v>
                </c:pt>
                <c:pt idx="23">
                  <c:v>-8</c:v>
                </c:pt>
                <c:pt idx="24">
                  <c:v>-4</c:v>
                </c:pt>
                <c:pt idx="25">
                  <c:v>0</c:v>
                </c:pt>
                <c:pt idx="26">
                  <c:v>4</c:v>
                </c:pt>
                <c:pt idx="27">
                  <c:v>8</c:v>
                </c:pt>
                <c:pt idx="28">
                  <c:v>12</c:v>
                </c:pt>
                <c:pt idx="29">
                  <c:v>16</c:v>
                </c:pt>
                <c:pt idx="30">
                  <c:v>20</c:v>
                </c:pt>
                <c:pt idx="31">
                  <c:v>24</c:v>
                </c:pt>
                <c:pt idx="32">
                  <c:v>28</c:v>
                </c:pt>
                <c:pt idx="33">
                  <c:v>32</c:v>
                </c:pt>
                <c:pt idx="34">
                  <c:v>36</c:v>
                </c:pt>
                <c:pt idx="35">
                  <c:v>40</c:v>
                </c:pt>
                <c:pt idx="36">
                  <c:v>44</c:v>
                </c:pt>
                <c:pt idx="37">
                  <c:v>48</c:v>
                </c:pt>
                <c:pt idx="38">
                  <c:v>52</c:v>
                </c:pt>
                <c:pt idx="39">
                  <c:v>56</c:v>
                </c:pt>
                <c:pt idx="40">
                  <c:v>60</c:v>
                </c:pt>
                <c:pt idx="41">
                  <c:v>64</c:v>
                </c:pt>
                <c:pt idx="42">
                  <c:v>68</c:v>
                </c:pt>
                <c:pt idx="43">
                  <c:v>72</c:v>
                </c:pt>
                <c:pt idx="44">
                  <c:v>76</c:v>
                </c:pt>
                <c:pt idx="45">
                  <c:v>80</c:v>
                </c:pt>
                <c:pt idx="46">
                  <c:v>84</c:v>
                </c:pt>
                <c:pt idx="47">
                  <c:v>88</c:v>
                </c:pt>
                <c:pt idx="48">
                  <c:v>92</c:v>
                </c:pt>
                <c:pt idx="49">
                  <c:v>96</c:v>
                </c:pt>
                <c:pt idx="50">
                  <c:v>100</c:v>
                </c:pt>
              </c:numCache>
            </c:numRef>
          </c:cat>
          <c:val>
            <c:numRef>
              <c:f>MC_hist!$AA$2:$AA$52</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0.4</c:v>
                </c:pt>
                <c:pt idx="28">
                  <c:v>0.6</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C534-4D74-9D0E-AE3A8E506452}"/>
            </c:ext>
          </c:extLst>
        </c:ser>
        <c:dLbls>
          <c:showLegendKey val="0"/>
          <c:showVal val="0"/>
          <c:showCatName val="0"/>
          <c:showSerName val="0"/>
          <c:showPercent val="0"/>
          <c:showBubbleSize val="0"/>
        </c:dLbls>
        <c:gapWidth val="219"/>
        <c:overlap val="-27"/>
        <c:axId val="886348816"/>
        <c:axId val="886344496"/>
      </c:barChart>
      <c:catAx>
        <c:axId val="88634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344496"/>
        <c:crosses val="autoZero"/>
        <c:auto val="1"/>
        <c:lblAlgn val="ctr"/>
        <c:lblOffset val="100"/>
        <c:noMultiLvlLbl val="0"/>
      </c:catAx>
      <c:valAx>
        <c:axId val="8863444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34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Discounted Payback Period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MC_hist!$AF$2:$AF$52</c:f>
              <c:numCache>
                <c:formatCode>General</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cat>
          <c:val>
            <c:numRef>
              <c:f>MC_hist!$AH$2:$AH$52</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2241-448E-ACBC-C82DFF5F47D1}"/>
            </c:ext>
          </c:extLst>
        </c:ser>
        <c:dLbls>
          <c:showLegendKey val="0"/>
          <c:showVal val="0"/>
          <c:showCatName val="0"/>
          <c:showSerName val="0"/>
          <c:showPercent val="0"/>
          <c:showBubbleSize val="0"/>
        </c:dLbls>
        <c:gapWidth val="219"/>
        <c:overlap val="-27"/>
        <c:axId val="885786240"/>
        <c:axId val="885777600"/>
      </c:barChart>
      <c:catAx>
        <c:axId val="88578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77600"/>
        <c:crosses val="autoZero"/>
        <c:auto val="1"/>
        <c:lblAlgn val="ctr"/>
        <c:lblOffset val="100"/>
        <c:noMultiLvlLbl val="0"/>
      </c:catAx>
      <c:valAx>
        <c:axId val="885777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786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EBITDA</a:t>
            </a:r>
            <a:r>
              <a:rPr lang="en-GB" baseline="0"/>
              <a:t> And EBIT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57505250359233E-2"/>
          <c:y val="0.10698738754289895"/>
          <c:w val="0.89386688957665528"/>
          <c:h val="0.79529866289330176"/>
        </c:manualLayout>
      </c:layout>
      <c:barChart>
        <c:barDir val="col"/>
        <c:grouping val="clustered"/>
        <c:varyColors val="0"/>
        <c:ser>
          <c:idx val="0"/>
          <c:order val="0"/>
          <c:tx>
            <c:strRef>
              <c:f>Sheet1!$G$13</c:f>
              <c:strCache>
                <c:ptCount val="1"/>
                <c:pt idx="0">
                  <c:v>EBITDA</c:v>
                </c:pt>
              </c:strCache>
            </c:strRef>
          </c:tx>
          <c:spPr>
            <a:solidFill>
              <a:schemeClr val="accent1"/>
            </a:solidFill>
            <a:ln>
              <a:noFill/>
            </a:ln>
            <a:effectLst/>
          </c:spPr>
          <c:invertIfNegative val="0"/>
          <c:val>
            <c:numRef>
              <c:f>Sheet1!$H$13:$V$13</c:f>
              <c:numCache>
                <c:formatCode>General</c:formatCode>
                <c:ptCount val="15"/>
                <c:pt idx="0">
                  <c:v>0</c:v>
                </c:pt>
                <c:pt idx="1">
                  <c:v>0</c:v>
                </c:pt>
                <c:pt idx="2" formatCode="_-* #,##0_-;\-* #,##0_-;_-* &quot;-&quot;??_-;_-@_-">
                  <c:v>1500000</c:v>
                </c:pt>
                <c:pt idx="3" formatCode="_-* #,##0_-;\-* #,##0_-;_-* &quot;-&quot;??_-;_-@_-">
                  <c:v>1500000</c:v>
                </c:pt>
                <c:pt idx="4" formatCode="_-* #,##0_-;\-* #,##0_-;_-* &quot;-&quot;??_-;_-@_-">
                  <c:v>1500000</c:v>
                </c:pt>
                <c:pt idx="5" formatCode="_-* #,##0_-;\-* #,##0_-;_-* &quot;-&quot;??_-;_-@_-">
                  <c:v>2250000</c:v>
                </c:pt>
                <c:pt idx="6" formatCode="_-* #,##0_-;\-* #,##0_-;_-* &quot;-&quot;??_-;_-@_-">
                  <c:v>2250000</c:v>
                </c:pt>
                <c:pt idx="7" formatCode="_-* #,##0_-;\-* #,##0_-;_-* &quot;-&quot;??_-;_-@_-">
                  <c:v>2250000</c:v>
                </c:pt>
                <c:pt idx="8" formatCode="_-* #,##0_-;\-* #,##0_-;_-* &quot;-&quot;??_-;_-@_-">
                  <c:v>2250000</c:v>
                </c:pt>
                <c:pt idx="9" formatCode="_-* #,##0_-;\-* #,##0_-;_-* &quot;-&quot;??_-;_-@_-">
                  <c:v>2250000</c:v>
                </c:pt>
                <c:pt idx="10" formatCode="_-* #,##0_-;\-* #,##0_-;_-* &quot;-&quot;??_-;_-@_-">
                  <c:v>2250000</c:v>
                </c:pt>
                <c:pt idx="11" formatCode="_-* #,##0_-;\-* #,##0_-;_-* &quot;-&quot;??_-;_-@_-">
                  <c:v>2250000</c:v>
                </c:pt>
                <c:pt idx="12" formatCode="_-* #,##0_-;\-* #,##0_-;_-* &quot;-&quot;??_-;_-@_-">
                  <c:v>2250000</c:v>
                </c:pt>
                <c:pt idx="13" formatCode="_-* #,##0_-;\-* #,##0_-;_-* &quot;-&quot;??_-;_-@_-">
                  <c:v>2250000</c:v>
                </c:pt>
                <c:pt idx="14">
                  <c:v>0</c:v>
                </c:pt>
              </c:numCache>
            </c:numRef>
          </c:val>
          <c:extLst>
            <c:ext xmlns:c16="http://schemas.microsoft.com/office/drawing/2014/chart" uri="{C3380CC4-5D6E-409C-BE32-E72D297353CC}">
              <c16:uniqueId val="{00000000-4609-4678-A7C9-80C134D1B3EB}"/>
            </c:ext>
          </c:extLst>
        </c:ser>
        <c:dLbls>
          <c:showLegendKey val="0"/>
          <c:showVal val="0"/>
          <c:showCatName val="0"/>
          <c:showSerName val="0"/>
          <c:showPercent val="0"/>
          <c:showBubbleSize val="0"/>
        </c:dLbls>
        <c:gapWidth val="219"/>
        <c:overlap val="-27"/>
        <c:axId val="1396275023"/>
        <c:axId val="1396276943"/>
      </c:barChart>
      <c:lineChart>
        <c:grouping val="standard"/>
        <c:varyColors val="0"/>
        <c:ser>
          <c:idx val="1"/>
          <c:order val="1"/>
          <c:tx>
            <c:strRef>
              <c:f>Sheet1!$G$17</c:f>
              <c:strCache>
                <c:ptCount val="1"/>
                <c:pt idx="0">
                  <c:v>EBIT</c:v>
                </c:pt>
              </c:strCache>
            </c:strRef>
          </c:tx>
          <c:spPr>
            <a:ln w="28575" cap="rnd">
              <a:solidFill>
                <a:schemeClr val="accent2"/>
              </a:solidFill>
              <a:round/>
            </a:ln>
            <a:effectLst/>
          </c:spPr>
          <c:marker>
            <c:symbol val="none"/>
          </c:marker>
          <c:val>
            <c:numRef>
              <c:f>Sheet1!$H$17:$V$17</c:f>
              <c:numCache>
                <c:formatCode>General</c:formatCode>
                <c:ptCount val="15"/>
                <c:pt idx="0">
                  <c:v>0</c:v>
                </c:pt>
                <c:pt idx="1">
                  <c:v>0</c:v>
                </c:pt>
                <c:pt idx="2" formatCode="_-* #,##0.00_-;\-* #,##0.00_-;_-* &quot;-&quot;??_-;_-@_-">
                  <c:v>730769.23076923075</c:v>
                </c:pt>
                <c:pt idx="3" formatCode="_-* #,##0.00_-;\-* #,##0.00_-;_-* &quot;-&quot;??_-;_-@_-">
                  <c:v>730769.23076923075</c:v>
                </c:pt>
                <c:pt idx="4" formatCode="_-* #,##0.00_-;\-* #,##0.00_-;_-* &quot;-&quot;??_-;_-@_-">
                  <c:v>730769.23076923075</c:v>
                </c:pt>
                <c:pt idx="5" formatCode="_-* #,##0.00_-;\-* #,##0.00_-;_-* &quot;-&quot;??_-;_-@_-">
                  <c:v>1480769.2307692308</c:v>
                </c:pt>
                <c:pt idx="6" formatCode="_-* #,##0.00_-;\-* #,##0.00_-;_-* &quot;-&quot;??_-;_-@_-">
                  <c:v>1480769.2307692308</c:v>
                </c:pt>
                <c:pt idx="7" formatCode="_-* #,##0.00_-;\-* #,##0.00_-;_-* &quot;-&quot;??_-;_-@_-">
                  <c:v>1480769.2307692308</c:v>
                </c:pt>
                <c:pt idx="8" formatCode="_-* #,##0.00_-;\-* #,##0.00_-;_-* &quot;-&quot;??_-;_-@_-">
                  <c:v>1480769.2307692308</c:v>
                </c:pt>
                <c:pt idx="9" formatCode="_-* #,##0.00_-;\-* #,##0.00_-;_-* &quot;-&quot;??_-;_-@_-">
                  <c:v>1480769.2307692308</c:v>
                </c:pt>
                <c:pt idx="10" formatCode="_-* #,##0.00_-;\-* #,##0.00_-;_-* &quot;-&quot;??_-;_-@_-">
                  <c:v>1480769.2307692308</c:v>
                </c:pt>
                <c:pt idx="11" formatCode="_-* #,##0.00_-;\-* #,##0.00_-;_-* &quot;-&quot;??_-;_-@_-">
                  <c:v>1480769.2307692308</c:v>
                </c:pt>
                <c:pt idx="12" formatCode="_-* #,##0.00_-;\-* #,##0.00_-;_-* &quot;-&quot;??_-;_-@_-">
                  <c:v>1480769.2307692308</c:v>
                </c:pt>
                <c:pt idx="13" formatCode="_-* #,##0.00_-;\-* #,##0.00_-;_-* &quot;-&quot;??_-;_-@_-">
                  <c:v>1480769.2307692308</c:v>
                </c:pt>
                <c:pt idx="14" formatCode="_-* #,##0.00_-;\-* #,##0.00_-;_-* &quot;-&quot;??_-;_-@_-">
                  <c:v>-769230.76923076925</c:v>
                </c:pt>
              </c:numCache>
            </c:numRef>
          </c:val>
          <c:smooth val="0"/>
          <c:extLst>
            <c:ext xmlns:c16="http://schemas.microsoft.com/office/drawing/2014/chart" uri="{C3380CC4-5D6E-409C-BE32-E72D297353CC}">
              <c16:uniqueId val="{00000001-4609-4678-A7C9-80C134D1B3EB}"/>
            </c:ext>
          </c:extLst>
        </c:ser>
        <c:dLbls>
          <c:showLegendKey val="0"/>
          <c:showVal val="0"/>
          <c:showCatName val="0"/>
          <c:showSerName val="0"/>
          <c:showPercent val="0"/>
          <c:showBubbleSize val="0"/>
        </c:dLbls>
        <c:marker val="1"/>
        <c:smooth val="0"/>
        <c:axId val="1396275023"/>
        <c:axId val="1396276943"/>
      </c:lineChart>
      <c:catAx>
        <c:axId val="139627502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6943"/>
        <c:crosses val="autoZero"/>
        <c:auto val="1"/>
        <c:lblAlgn val="ctr"/>
        <c:lblOffset val="100"/>
        <c:noMultiLvlLbl val="0"/>
      </c:catAx>
      <c:valAx>
        <c:axId val="1396276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50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Cash</a:t>
            </a:r>
            <a:r>
              <a:rPr lang="en-GB" baseline="0"/>
              <a:t> Flow Analysis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stacked"/>
        <c:varyColors val="0"/>
        <c:ser>
          <c:idx val="0"/>
          <c:order val="0"/>
          <c:tx>
            <c:strRef>
              <c:f>Sheet1!$G$23</c:f>
              <c:strCache>
                <c:ptCount val="1"/>
                <c:pt idx="0">
                  <c:v>Free Cash Free  FCF</c:v>
                </c:pt>
              </c:strCache>
            </c:strRef>
          </c:tx>
          <c:spPr>
            <a:solidFill>
              <a:schemeClr val="accent1"/>
            </a:solidFill>
            <a:ln>
              <a:noFill/>
            </a:ln>
            <a:effectLst/>
          </c:spPr>
          <c:invertIfNegative val="0"/>
          <c:val>
            <c:numRef>
              <c:f>Sheet1!$H$23:$V$23</c:f>
              <c:numCache>
                <c:formatCode>_-* #,##0_-;\-* #,##0_-;_-* "-"??_-;_-@_-</c:formatCode>
                <c:ptCount val="15"/>
                <c:pt idx="0">
                  <c:v>-5000000</c:v>
                </c:pt>
                <c:pt idx="1">
                  <c:v>-5000000</c:v>
                </c:pt>
                <c:pt idx="2" formatCode="_-* #,##0.00_-;\-* #,##0.00_-;_-* &quot;-&quot;??_-;_-@_-">
                  <c:v>1303846.1538461538</c:v>
                </c:pt>
                <c:pt idx="3" formatCode="_-* #,##0.00_-;\-* #,##0.00_-;_-* &quot;-&quot;??_-;_-@_-">
                  <c:v>1303846.1538461538</c:v>
                </c:pt>
                <c:pt idx="4" formatCode="_-* #,##0.00_-;\-* #,##0.00_-;_-* &quot;-&quot;??_-;_-@_-">
                  <c:v>1303846.1538461538</c:v>
                </c:pt>
                <c:pt idx="5" formatCode="_-* #,##0.00_-;\-* #,##0.00_-;_-* &quot;-&quot;??_-;_-@_-">
                  <c:v>1903846.1538461538</c:v>
                </c:pt>
                <c:pt idx="6" formatCode="_-* #,##0.00_-;\-* #,##0.00_-;_-* &quot;-&quot;??_-;_-@_-">
                  <c:v>1903846.1538461538</c:v>
                </c:pt>
                <c:pt idx="7" formatCode="_-* #,##0.00_-;\-* #,##0.00_-;_-* &quot;-&quot;??_-;_-@_-">
                  <c:v>1953846.1538461538</c:v>
                </c:pt>
                <c:pt idx="8" formatCode="_-* #,##0.00_-;\-* #,##0.00_-;_-* &quot;-&quot;??_-;_-@_-">
                  <c:v>1953846.1538461538</c:v>
                </c:pt>
                <c:pt idx="9" formatCode="_-* #,##0.00_-;\-* #,##0.00_-;_-* &quot;-&quot;??_-;_-@_-">
                  <c:v>2003846.1538461538</c:v>
                </c:pt>
                <c:pt idx="10" formatCode="_-* #,##0.00_-;\-* #,##0.00_-;_-* &quot;-&quot;??_-;_-@_-">
                  <c:v>2003846.1538461538</c:v>
                </c:pt>
                <c:pt idx="11" formatCode="_-* #,##0.00_-;\-* #,##0.00_-;_-* &quot;-&quot;??_-;_-@_-">
                  <c:v>2003846.1538461538</c:v>
                </c:pt>
                <c:pt idx="12" formatCode="_-* #,##0.00_-;\-* #,##0.00_-;_-* &quot;-&quot;??_-;_-@_-">
                  <c:v>2003846.1538461538</c:v>
                </c:pt>
                <c:pt idx="13" formatCode="_-* #,##0.00_-;\-* #,##0.00_-;_-* &quot;-&quot;??_-;_-@_-">
                  <c:v>2773076.923076923</c:v>
                </c:pt>
                <c:pt idx="14" formatCode="_-* #,##0.00_-;\-* #,##0.00_-;_-* &quot;-&quot;??_-;_-@_-">
                  <c:v>0</c:v>
                </c:pt>
              </c:numCache>
            </c:numRef>
          </c:val>
          <c:extLst>
            <c:ext xmlns:c16="http://schemas.microsoft.com/office/drawing/2014/chart" uri="{C3380CC4-5D6E-409C-BE32-E72D297353CC}">
              <c16:uniqueId val="{00000000-A74E-47D7-89BA-DEF8B0295CBC}"/>
            </c:ext>
          </c:extLst>
        </c:ser>
        <c:dLbls>
          <c:showLegendKey val="0"/>
          <c:showVal val="0"/>
          <c:showCatName val="0"/>
          <c:showSerName val="0"/>
          <c:showPercent val="0"/>
          <c:showBubbleSize val="0"/>
        </c:dLbls>
        <c:gapWidth val="219"/>
        <c:overlap val="100"/>
        <c:axId val="825398239"/>
        <c:axId val="825399199"/>
      </c:barChart>
      <c:lineChart>
        <c:grouping val="standard"/>
        <c:varyColors val="0"/>
        <c:ser>
          <c:idx val="1"/>
          <c:order val="1"/>
          <c:tx>
            <c:strRef>
              <c:f>Sheet1!$G$25</c:f>
              <c:strCache>
                <c:ptCount val="1"/>
                <c:pt idx="0">
                  <c:v>Discounted FCF</c:v>
                </c:pt>
              </c:strCache>
            </c:strRef>
          </c:tx>
          <c:spPr>
            <a:ln w="28575" cap="rnd">
              <a:solidFill>
                <a:schemeClr val="accent2"/>
              </a:solidFill>
              <a:round/>
            </a:ln>
            <a:effectLst/>
          </c:spPr>
          <c:marker>
            <c:symbol val="none"/>
          </c:marker>
          <c:val>
            <c:numRef>
              <c:f>Sheet1!$H$25:$V$25</c:f>
              <c:numCache>
                <c:formatCode>_-* #,##0_-;\-* #,##0_-;_-* "-"??_-;_-@_-</c:formatCode>
                <c:ptCount val="15"/>
                <c:pt idx="0">
                  <c:v>-5000000</c:v>
                </c:pt>
                <c:pt idx="1">
                  <c:v>-4727272.7272727275</c:v>
                </c:pt>
                <c:pt idx="2">
                  <c:v>1165487.603305785</c:v>
                </c:pt>
                <c:pt idx="3">
                  <c:v>1101915.5522163785</c:v>
                </c:pt>
                <c:pt idx="4">
                  <c:v>1041811.0675500308</c:v>
                </c:pt>
                <c:pt idx="5">
                  <c:v>1438252.4472372106</c:v>
                </c:pt>
                <c:pt idx="6">
                  <c:v>1359802.3137515446</c:v>
                </c:pt>
                <c:pt idx="7">
                  <c:v>1319395.3322336383</c:v>
                </c:pt>
                <c:pt idx="8">
                  <c:v>1247428.3141118034</c:v>
                </c:pt>
                <c:pt idx="9">
                  <c:v>1209567.9271981739</c:v>
                </c:pt>
                <c:pt idx="10">
                  <c:v>1143591.4948055462</c:v>
                </c:pt>
                <c:pt idx="11">
                  <c:v>1081213.7769070619</c:v>
                </c:pt>
                <c:pt idx="12">
                  <c:v>1022238.4799848585</c:v>
                </c:pt>
                <c:pt idx="13">
                  <c:v>1337489.6210641188</c:v>
                </c:pt>
                <c:pt idx="14">
                  <c:v>0</c:v>
                </c:pt>
              </c:numCache>
            </c:numRef>
          </c:val>
          <c:smooth val="0"/>
          <c:extLst>
            <c:ext xmlns:c16="http://schemas.microsoft.com/office/drawing/2014/chart" uri="{C3380CC4-5D6E-409C-BE32-E72D297353CC}">
              <c16:uniqueId val="{00000001-A74E-47D7-89BA-DEF8B0295CBC}"/>
            </c:ext>
          </c:extLst>
        </c:ser>
        <c:dLbls>
          <c:showLegendKey val="0"/>
          <c:showVal val="0"/>
          <c:showCatName val="0"/>
          <c:showSerName val="0"/>
          <c:showPercent val="0"/>
          <c:showBubbleSize val="0"/>
        </c:dLbls>
        <c:marker val="1"/>
        <c:smooth val="0"/>
        <c:axId val="825398239"/>
        <c:axId val="825399199"/>
      </c:lineChart>
      <c:catAx>
        <c:axId val="82539823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399199"/>
        <c:crosses val="autoZero"/>
        <c:auto val="1"/>
        <c:lblAlgn val="ctr"/>
        <c:lblOffset val="100"/>
        <c:noMultiLvlLbl val="0"/>
      </c:catAx>
      <c:valAx>
        <c:axId val="825399199"/>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3982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Cummulative</a:t>
            </a:r>
            <a:r>
              <a:rPr lang="en-GB" baseline="0"/>
              <a:t> Cash Flow</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070025296314791"/>
          <c:y val="0.16993085485079062"/>
          <c:w val="0.76668361602882529"/>
          <c:h val="0.75434583041230874"/>
        </c:manualLayout>
      </c:layout>
      <c:barChart>
        <c:barDir val="col"/>
        <c:grouping val="stacked"/>
        <c:varyColors val="0"/>
        <c:ser>
          <c:idx val="1"/>
          <c:order val="1"/>
          <c:tx>
            <c:strRef>
              <c:f>Sheet1!$G$26</c:f>
              <c:strCache>
                <c:ptCount val="1"/>
                <c:pt idx="0">
                  <c:v>Cummulative Discounted FCF</c:v>
                </c:pt>
              </c:strCache>
            </c:strRef>
          </c:tx>
          <c:spPr>
            <a:solidFill>
              <a:schemeClr val="accent2"/>
            </a:solidFill>
            <a:ln>
              <a:noFill/>
            </a:ln>
            <a:effectLst/>
          </c:spPr>
          <c:invertIfNegative val="0"/>
          <c:val>
            <c:numRef>
              <c:f>Sheet1!$H$26:$V$26</c:f>
              <c:numCache>
                <c:formatCode>_-* #,##0_-;\-* #,##0_-;_-* "-"??_-;_-@_-</c:formatCode>
                <c:ptCount val="15"/>
                <c:pt idx="0">
                  <c:v>-5000000</c:v>
                </c:pt>
                <c:pt idx="1">
                  <c:v>-9727272.7272727266</c:v>
                </c:pt>
                <c:pt idx="2">
                  <c:v>-8561785.1239669416</c:v>
                </c:pt>
                <c:pt idx="3">
                  <c:v>-7459869.5717505626</c:v>
                </c:pt>
                <c:pt idx="4">
                  <c:v>-6418058.5042005321</c:v>
                </c:pt>
                <c:pt idx="5">
                  <c:v>-4979806.0569633218</c:v>
                </c:pt>
                <c:pt idx="6">
                  <c:v>-3620003.7432117769</c:v>
                </c:pt>
                <c:pt idx="7">
                  <c:v>-2300608.4109781384</c:v>
                </c:pt>
                <c:pt idx="8">
                  <c:v>-1053180.096866335</c:v>
                </c:pt>
                <c:pt idx="9">
                  <c:v>156387.83033183892</c:v>
                </c:pt>
                <c:pt idx="10">
                  <c:v>1299979.3251373852</c:v>
                </c:pt>
                <c:pt idx="11">
                  <c:v>2381193.1020444473</c:v>
                </c:pt>
                <c:pt idx="12">
                  <c:v>3403431.5820293059</c:v>
                </c:pt>
                <c:pt idx="13">
                  <c:v>4740921.2030934244</c:v>
                </c:pt>
                <c:pt idx="14">
                  <c:v>4740921.2030934244</c:v>
                </c:pt>
              </c:numCache>
            </c:numRef>
          </c:val>
          <c:extLst>
            <c:ext xmlns:c16="http://schemas.microsoft.com/office/drawing/2014/chart" uri="{C3380CC4-5D6E-409C-BE32-E72D297353CC}">
              <c16:uniqueId val="{00000000-3337-4DF2-B025-67D0BA81D3E9}"/>
            </c:ext>
          </c:extLst>
        </c:ser>
        <c:dLbls>
          <c:showLegendKey val="0"/>
          <c:showVal val="0"/>
          <c:showCatName val="0"/>
          <c:showSerName val="0"/>
          <c:showPercent val="0"/>
          <c:showBubbleSize val="0"/>
        </c:dLbls>
        <c:gapWidth val="219"/>
        <c:overlap val="100"/>
        <c:axId val="832845935"/>
        <c:axId val="832844015"/>
      </c:barChart>
      <c:lineChart>
        <c:grouping val="stacked"/>
        <c:varyColors val="0"/>
        <c:ser>
          <c:idx val="0"/>
          <c:order val="0"/>
          <c:tx>
            <c:strRef>
              <c:f>Sheet1!$G$24</c:f>
              <c:strCache>
                <c:ptCount val="1"/>
                <c:pt idx="0">
                  <c:v>Cummulative FCF</c:v>
                </c:pt>
              </c:strCache>
            </c:strRef>
          </c:tx>
          <c:spPr>
            <a:ln w="28575" cap="rnd">
              <a:solidFill>
                <a:schemeClr val="accent1"/>
              </a:solidFill>
              <a:round/>
            </a:ln>
            <a:effectLst/>
          </c:spPr>
          <c:marker>
            <c:symbol val="none"/>
          </c:marker>
          <c:val>
            <c:numRef>
              <c:f>Sheet1!$H$24:$V$24</c:f>
              <c:numCache>
                <c:formatCode>_-* #,##0_-;\-* #,##0_-;_-* "-"??_-;_-@_-</c:formatCode>
                <c:ptCount val="15"/>
                <c:pt idx="0">
                  <c:v>-5000000</c:v>
                </c:pt>
                <c:pt idx="1">
                  <c:v>-10000000</c:v>
                </c:pt>
                <c:pt idx="2">
                  <c:v>-8696153.846153846</c:v>
                </c:pt>
                <c:pt idx="3">
                  <c:v>-7392307.692307692</c:v>
                </c:pt>
                <c:pt idx="4">
                  <c:v>-6088461.538461538</c:v>
                </c:pt>
                <c:pt idx="5">
                  <c:v>-4184615.384615384</c:v>
                </c:pt>
                <c:pt idx="6">
                  <c:v>-2280769.2307692301</c:v>
                </c:pt>
                <c:pt idx="7">
                  <c:v>-326923.0769230763</c:v>
                </c:pt>
                <c:pt idx="8">
                  <c:v>1626923.0769230775</c:v>
                </c:pt>
                <c:pt idx="9">
                  <c:v>3630769.230769231</c:v>
                </c:pt>
                <c:pt idx="10">
                  <c:v>5634615.384615385</c:v>
                </c:pt>
                <c:pt idx="11">
                  <c:v>7638461.538461539</c:v>
                </c:pt>
                <c:pt idx="12">
                  <c:v>9642307.692307692</c:v>
                </c:pt>
                <c:pt idx="13">
                  <c:v>12415384.615384616</c:v>
                </c:pt>
                <c:pt idx="14">
                  <c:v>12415384.615384616</c:v>
                </c:pt>
              </c:numCache>
            </c:numRef>
          </c:val>
          <c:smooth val="0"/>
          <c:extLst>
            <c:ext xmlns:c16="http://schemas.microsoft.com/office/drawing/2014/chart" uri="{C3380CC4-5D6E-409C-BE32-E72D297353CC}">
              <c16:uniqueId val="{00000001-3337-4DF2-B025-67D0BA81D3E9}"/>
            </c:ext>
          </c:extLst>
        </c:ser>
        <c:dLbls>
          <c:showLegendKey val="0"/>
          <c:showVal val="0"/>
          <c:showCatName val="0"/>
          <c:showSerName val="0"/>
          <c:showPercent val="0"/>
          <c:showBubbleSize val="0"/>
        </c:dLbls>
        <c:marker val="1"/>
        <c:smooth val="0"/>
        <c:axId val="696558415"/>
        <c:axId val="281468895"/>
      </c:lineChart>
      <c:catAx>
        <c:axId val="83284593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844015"/>
        <c:crosses val="autoZero"/>
        <c:auto val="1"/>
        <c:lblAlgn val="ctr"/>
        <c:lblOffset val="100"/>
        <c:noMultiLvlLbl val="0"/>
      </c:catAx>
      <c:valAx>
        <c:axId val="832844015"/>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845935"/>
        <c:crosses val="autoZero"/>
        <c:crossBetween val="between"/>
      </c:valAx>
      <c:valAx>
        <c:axId val="281468895"/>
        <c:scaling>
          <c:orientation val="minMax"/>
        </c:scaling>
        <c:delete val="0"/>
        <c:axPos val="r"/>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558415"/>
        <c:crosses val="max"/>
        <c:crossBetween val="between"/>
      </c:valAx>
      <c:catAx>
        <c:axId val="696558415"/>
        <c:scaling>
          <c:orientation val="minMax"/>
        </c:scaling>
        <c:delete val="1"/>
        <c:axPos val="b"/>
        <c:majorTickMark val="out"/>
        <c:minorTickMark val="none"/>
        <c:tickLblPos val="nextTo"/>
        <c:crossAx val="28146889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41999575758128"/>
          <c:y val="9.696298102260649E-2"/>
          <c:w val="0.89558000424241868"/>
          <c:h val="0.79216898825196025"/>
        </c:manualLayout>
      </c:layout>
      <c:lineChart>
        <c:grouping val="standard"/>
        <c:varyColors val="0"/>
        <c:ser>
          <c:idx val="0"/>
          <c:order val="0"/>
          <c:tx>
            <c:strRef>
              <c:f>Sheet1!$G$7</c:f>
              <c:strCache>
                <c:ptCount val="1"/>
                <c:pt idx="0">
                  <c:v>Salvage Value (Scrap)</c:v>
                </c:pt>
              </c:strCache>
            </c:strRef>
          </c:tx>
          <c:spPr>
            <a:ln w="28575" cap="rnd">
              <a:solidFill>
                <a:schemeClr val="accent1"/>
              </a:solidFill>
              <a:round/>
            </a:ln>
            <a:effectLst/>
          </c:spPr>
          <c:marker>
            <c:symbol val="none"/>
          </c:marker>
          <c:val>
            <c:numRef>
              <c:f>Sheet1!$H$7:$V$7</c:f>
              <c:numCache>
                <c:formatCode>General</c:formatCode>
                <c:ptCount val="15"/>
                <c:pt idx="0">
                  <c:v>0</c:v>
                </c:pt>
                <c:pt idx="1">
                  <c:v>0</c:v>
                </c:pt>
                <c:pt idx="2" formatCode="_-&quot;$&quot;* #,##0.00_-;\-&quot;$&quot;* #,##0.00_-;_-&quot;$&quot;* &quot;-&quot;??_-;_-@_-">
                  <c:v>9230769.2307692301</c:v>
                </c:pt>
                <c:pt idx="3" formatCode="_-&quot;$&quot;* #,##0.00_-;\-&quot;$&quot;* #,##0.00_-;_-&quot;$&quot;* &quot;-&quot;??_-;_-@_-">
                  <c:v>8461538.4615384601</c:v>
                </c:pt>
                <c:pt idx="4" formatCode="_-&quot;$&quot;* #,##0.00_-;\-&quot;$&quot;* #,##0.00_-;_-&quot;$&quot;* &quot;-&quot;??_-;_-@_-">
                  <c:v>7692307.6923076911</c:v>
                </c:pt>
                <c:pt idx="5" formatCode="_-&quot;$&quot;* #,##0.00_-;\-&quot;$&quot;* #,##0.00_-;_-&quot;$&quot;* &quot;-&quot;??_-;_-@_-">
                  <c:v>6923076.9230769221</c:v>
                </c:pt>
                <c:pt idx="6" formatCode="_-&quot;$&quot;* #,##0.00_-;\-&quot;$&quot;* #,##0.00_-;_-&quot;$&quot;* &quot;-&quot;??_-;_-@_-">
                  <c:v>6153846.1538461531</c:v>
                </c:pt>
                <c:pt idx="7" formatCode="_-&quot;$&quot;* #,##0.00_-;\-&quot;$&quot;* #,##0.00_-;_-&quot;$&quot;* &quot;-&quot;??_-;_-@_-">
                  <c:v>5384615.384615384</c:v>
                </c:pt>
                <c:pt idx="8" formatCode="_-&quot;$&quot;* #,##0.00_-;\-&quot;$&quot;* #,##0.00_-;_-&quot;$&quot;* &quot;-&quot;??_-;_-@_-">
                  <c:v>4615384.615384615</c:v>
                </c:pt>
                <c:pt idx="9" formatCode="_-&quot;$&quot;* #,##0.00_-;\-&quot;$&quot;* #,##0.00_-;_-&quot;$&quot;* &quot;-&quot;??_-;_-@_-">
                  <c:v>3846153.846153846</c:v>
                </c:pt>
                <c:pt idx="10" formatCode="_-&quot;$&quot;* #,##0.00_-;\-&quot;$&quot;* #,##0.00_-;_-&quot;$&quot;* &quot;-&quot;??_-;_-@_-">
                  <c:v>3076923.076923077</c:v>
                </c:pt>
                <c:pt idx="11" formatCode="_-&quot;$&quot;* #,##0.00_-;\-&quot;$&quot;* #,##0.00_-;_-&quot;$&quot;* &quot;-&quot;??_-;_-@_-">
                  <c:v>2307692.307692308</c:v>
                </c:pt>
                <c:pt idx="12" formatCode="_-&quot;$&quot;* #,##0.00_-;\-&quot;$&quot;* #,##0.00_-;_-&quot;$&quot;* &quot;-&quot;??_-;_-@_-">
                  <c:v>1538461.5384615387</c:v>
                </c:pt>
                <c:pt idx="13" formatCode="_-&quot;$&quot;* #,##0.00_-;\-&quot;$&quot;* #,##0.00_-;_-&quot;$&quot;* &quot;-&quot;??_-;_-@_-">
                  <c:v>769230.76923076948</c:v>
                </c:pt>
                <c:pt idx="14">
                  <c:v>0</c:v>
                </c:pt>
              </c:numCache>
            </c:numRef>
          </c:val>
          <c:smooth val="0"/>
          <c:extLst>
            <c:ext xmlns:c16="http://schemas.microsoft.com/office/drawing/2014/chart" uri="{C3380CC4-5D6E-409C-BE32-E72D297353CC}">
              <c16:uniqueId val="{00000000-F69C-4D57-9A59-CCD4E3D71DC4}"/>
            </c:ext>
          </c:extLst>
        </c:ser>
        <c:dLbls>
          <c:showLegendKey val="0"/>
          <c:showVal val="0"/>
          <c:showCatName val="0"/>
          <c:showSerName val="0"/>
          <c:showPercent val="0"/>
          <c:showBubbleSize val="0"/>
        </c:dLbls>
        <c:smooth val="0"/>
        <c:axId val="833423071"/>
        <c:axId val="833422111"/>
      </c:lineChart>
      <c:catAx>
        <c:axId val="833423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422111"/>
        <c:crosses val="autoZero"/>
        <c:auto val="1"/>
        <c:lblAlgn val="ctr"/>
        <c:lblOffset val="100"/>
        <c:noMultiLvlLbl val="0"/>
      </c:catAx>
      <c:valAx>
        <c:axId val="833422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423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sensitivity!$C$1</c:f>
          <c:strCache>
            <c:ptCount val="1"/>
            <c:pt idx="0">
              <c:v>Net Present Value</c:v>
            </c:pt>
          </c:strCache>
        </c:strRef>
      </c:tx>
      <c:layout>
        <c:manualLayout>
          <c:xMode val="edge"/>
          <c:yMode val="edge"/>
          <c:x val="0.39719517848864161"/>
          <c:y val="2.773307050511396E-2"/>
        </c:manualLayout>
      </c:layout>
      <c:overlay val="0"/>
      <c:txPr>
        <a:bodyPr/>
        <a:lstStyle/>
        <a:p>
          <a:pPr>
            <a:defRPr sz="1200"/>
          </a:pPr>
          <a:endParaRPr lang="fi-FI"/>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sensitivity!$C$3:$M$3</c:f>
              <c:numCache>
                <c:formatCode>0.0</c:formatCode>
                <c:ptCount val="11"/>
                <c:pt idx="0">
                  <c:v>9604557.566729784</c:v>
                </c:pt>
                <c:pt idx="1">
                  <c:v>8631830.2940025125</c:v>
                </c:pt>
                <c:pt idx="2">
                  <c:v>7659103.0212752391</c:v>
                </c:pt>
                <c:pt idx="3">
                  <c:v>6686375.7485479675</c:v>
                </c:pt>
                <c:pt idx="4">
                  <c:v>5713648.4758206923</c:v>
                </c:pt>
                <c:pt idx="5">
                  <c:v>4740921.2030934189</c:v>
                </c:pt>
                <c:pt idx="6">
                  <c:v>3768193.9303661473</c:v>
                </c:pt>
                <c:pt idx="7">
                  <c:v>2795466.6576388739</c:v>
                </c:pt>
                <c:pt idx="8">
                  <c:v>1822739.3849116014</c:v>
                </c:pt>
                <c:pt idx="9">
                  <c:v>850012.11218432896</c:v>
                </c:pt>
                <c:pt idx="10">
                  <c:v>-122715.16054294445</c:v>
                </c:pt>
              </c:numCache>
            </c:numRef>
          </c:val>
          <c:smooth val="0"/>
          <c:extLst>
            <c:ext xmlns:c16="http://schemas.microsoft.com/office/drawing/2014/chart" uri="{C3380CC4-5D6E-409C-BE32-E72D297353CC}">
              <c16:uniqueId val="{00000000-48E7-4454-B856-72E0811C1171}"/>
            </c:ext>
          </c:extLst>
        </c:ser>
        <c:ser>
          <c:idx val="3"/>
          <c:order val="1"/>
          <c:tx>
            <c:strRef>
              <c:f>sensitivity!$A$4</c:f>
              <c:strCache>
                <c:ptCount val="1"/>
                <c:pt idx="0">
                  <c:v>Sales price per bottle</c:v>
                </c:pt>
              </c:strCache>
            </c:strRef>
          </c:tx>
          <c:spPr>
            <a:ln w="25400">
              <a:solidFill>
                <a:srgbClr val="92D050"/>
              </a:solidFill>
            </a:ln>
          </c:spPr>
          <c:marker>
            <c:symbol val="circle"/>
            <c:size val="5"/>
            <c:spPr>
              <a:solidFill>
                <a:srgbClr val="92D050"/>
              </a:solidFill>
              <a:ln>
                <a:solidFill>
                  <a:srgbClr val="00B05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sensitivity!$C$4:$M$4</c:f>
              <c:numCache>
                <c:formatCode>0.0</c:formatCode>
                <c:ptCount val="11"/>
                <c:pt idx="0">
                  <c:v>2710488.8774326043</c:v>
                </c:pt>
                <c:pt idx="1">
                  <c:v>3116575.3425647672</c:v>
                </c:pt>
                <c:pt idx="2">
                  <c:v>3522661.8076969311</c:v>
                </c:pt>
                <c:pt idx="3">
                  <c:v>3928748.272829093</c:v>
                </c:pt>
                <c:pt idx="4">
                  <c:v>4334834.7379612569</c:v>
                </c:pt>
                <c:pt idx="5">
                  <c:v>4740921.2030934189</c:v>
                </c:pt>
                <c:pt idx="6">
                  <c:v>5147007.6682255827</c:v>
                </c:pt>
                <c:pt idx="7">
                  <c:v>5553094.1333577465</c:v>
                </c:pt>
                <c:pt idx="8">
                  <c:v>5959180.5984899104</c:v>
                </c:pt>
                <c:pt idx="9">
                  <c:v>6365267.0636220742</c:v>
                </c:pt>
                <c:pt idx="10">
                  <c:v>6771353.5287542362</c:v>
                </c:pt>
              </c:numCache>
            </c:numRef>
          </c:val>
          <c:smooth val="0"/>
          <c:extLst>
            <c:ext xmlns:c16="http://schemas.microsoft.com/office/drawing/2014/chart" uri="{C3380CC4-5D6E-409C-BE32-E72D297353CC}">
              <c16:uniqueId val="{00000001-48E7-4454-B856-72E0811C1171}"/>
            </c:ext>
          </c:extLst>
        </c:ser>
        <c:ser>
          <c:idx val="4"/>
          <c:order val="2"/>
          <c:tx>
            <c:strRef>
              <c:f>sensitivity!$A$5</c:f>
              <c:strCache>
                <c:ptCount val="1"/>
                <c:pt idx="0">
                  <c:v>Nominal Discount Rate</c:v>
                </c:pt>
              </c:strCache>
            </c:strRef>
          </c:tx>
          <c:spPr>
            <a:ln w="25400">
              <a:solidFill>
                <a:srgbClr val="FFC000"/>
              </a:solidFill>
            </a:ln>
          </c:spPr>
          <c:marker>
            <c:symbol val="circle"/>
            <c:size val="5"/>
            <c:spPr>
              <a:solidFill>
                <a:srgbClr val="FFC000"/>
              </a:solidFill>
              <a:ln>
                <a:solidFill>
                  <a:schemeClr val="accent6"/>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sensitivity!$C$5:$M$5</c:f>
              <c:numCache>
                <c:formatCode>0.0</c:formatCode>
                <c:ptCount val="11"/>
                <c:pt idx="0">
                  <c:v>10796442.898265958</c:v>
                </c:pt>
                <c:pt idx="1">
                  <c:v>9334516.0777946413</c:v>
                </c:pt>
                <c:pt idx="2">
                  <c:v>8012299.8308848664</c:v>
                </c:pt>
                <c:pt idx="3">
                  <c:v>6814602.6129704081</c:v>
                </c:pt>
                <c:pt idx="4">
                  <c:v>5728065.3829447944</c:v>
                </c:pt>
                <c:pt idx="5">
                  <c:v>4740921.2030934189</c:v>
                </c:pt>
                <c:pt idx="6">
                  <c:v>3842788.6846522745</c:v>
                </c:pt>
                <c:pt idx="7">
                  <c:v>3024494.2121423613</c:v>
                </c:pt>
                <c:pt idx="8">
                  <c:v>2277918.6807520716</c:v>
                </c:pt>
                <c:pt idx="9">
                  <c:v>1595865.149078913</c:v>
                </c:pt>
                <c:pt idx="10">
                  <c:v>971944.36763096228</c:v>
                </c:pt>
              </c:numCache>
            </c:numRef>
          </c:val>
          <c:smooth val="0"/>
          <c:extLst>
            <c:ext xmlns:c16="http://schemas.microsoft.com/office/drawing/2014/chart" uri="{C3380CC4-5D6E-409C-BE32-E72D297353CC}">
              <c16:uniqueId val="{00000002-48E7-4454-B856-72E0811C1171}"/>
            </c:ext>
          </c:extLst>
        </c:ser>
        <c:ser>
          <c:idx val="5"/>
          <c:order val="3"/>
          <c:tx>
            <c:strRef>
              <c:f>sensitivity!$A$6</c:f>
              <c:strCache>
                <c:ptCount val="1"/>
                <c:pt idx="0">
                  <c:v>Inflation Rate</c:v>
                </c:pt>
              </c:strCache>
            </c:strRef>
          </c:tx>
          <c:spPr>
            <a:ln w="25400">
              <a:solidFill>
                <a:srgbClr val="FF0000"/>
              </a:solidFill>
            </a:ln>
          </c:spPr>
          <c:marker>
            <c:symbol val="circle"/>
            <c:size val="5"/>
            <c:spPr>
              <a:solidFill>
                <a:srgbClr val="FF0000"/>
              </a:solidFill>
              <a:ln>
                <a:solidFill>
                  <a:srgbClr val="C0000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sensitivity!$C$6:$M$6</c:f>
              <c:numCache>
                <c:formatCode>0.0</c:formatCode>
                <c:ptCount val="11"/>
                <c:pt idx="0">
                  <c:v>2902835.4062460205</c:v>
                </c:pt>
                <c:pt idx="1">
                  <c:v>3247058.2693214817</c:v>
                </c:pt>
                <c:pt idx="2">
                  <c:v>3602608.5873465016</c:v>
                </c:pt>
                <c:pt idx="3">
                  <c:v>3969850.3064178564</c:v>
                </c:pt>
                <c:pt idx="4">
                  <c:v>4349158.7992134634</c:v>
                </c:pt>
                <c:pt idx="5">
                  <c:v>4740921.2030934189</c:v>
                </c:pt>
                <c:pt idx="6">
                  <c:v>5145536.7673708815</c:v>
                </c:pt>
                <c:pt idx="7">
                  <c:v>5563417.209974952</c:v>
                </c:pt>
                <c:pt idx="8">
                  <c:v>5994987.0837324578</c:v>
                </c:pt>
                <c:pt idx="9">
                  <c:v>6440684.152500255</c:v>
                </c:pt>
                <c:pt idx="10">
                  <c:v>6900959.7773849182</c:v>
                </c:pt>
              </c:numCache>
            </c:numRef>
          </c:val>
          <c:smooth val="0"/>
          <c:extLst>
            <c:ext xmlns:c16="http://schemas.microsoft.com/office/drawing/2014/chart" uri="{C3380CC4-5D6E-409C-BE32-E72D297353CC}">
              <c16:uniqueId val="{00000003-48E7-4454-B856-72E0811C1171}"/>
            </c:ext>
          </c:extLst>
        </c:ser>
        <c:ser>
          <c:idx val="6"/>
          <c:order val="4"/>
          <c:tx>
            <c:strRef>
              <c:f>sensitivity!$A$7</c:f>
              <c:strCache>
                <c:ptCount val="1"/>
                <c:pt idx="0">
                  <c:v>Sales unit after three years</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48E7-4454-B856-72E0811C1171}"/>
              </c:ext>
            </c:extLst>
          </c:dPt>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8E7-4454-B856-72E0811C1171}"/>
                </c:ext>
              </c:extLst>
            </c:dLbl>
            <c:numFmt formatCode="#,##0.0" sourceLinked="0"/>
            <c:spPr>
              <a:noFill/>
              <a:ln>
                <a:noFill/>
              </a:ln>
              <a:effectLst/>
            </c:spPr>
            <c:txPr>
              <a:bodyPr/>
              <a:lstStyle/>
              <a:p>
                <a:pPr>
                  <a:defRPr b="1"/>
                </a:pPr>
                <a:endParaRPr lang="fi-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sensitivity!$C$7:$M$7</c:f>
              <c:numCache>
                <c:formatCode>0.0</c:formatCode>
                <c:ptCount val="11"/>
                <c:pt idx="0">
                  <c:v>-199858.57813660987</c:v>
                </c:pt>
                <c:pt idx="1">
                  <c:v>788297.3781093955</c:v>
                </c:pt>
                <c:pt idx="2">
                  <c:v>1776453.3343554009</c:v>
                </c:pt>
                <c:pt idx="3">
                  <c:v>2764609.2906014072</c:v>
                </c:pt>
                <c:pt idx="4">
                  <c:v>3752765.2468474135</c:v>
                </c:pt>
                <c:pt idx="5">
                  <c:v>4740921.2030934189</c:v>
                </c:pt>
                <c:pt idx="6">
                  <c:v>5729077.1593394261</c:v>
                </c:pt>
                <c:pt idx="7">
                  <c:v>6717233.1155854315</c:v>
                </c:pt>
                <c:pt idx="8">
                  <c:v>7705389.0718314406</c:v>
                </c:pt>
                <c:pt idx="9">
                  <c:v>8693545.0280774441</c:v>
                </c:pt>
                <c:pt idx="10">
                  <c:v>9681700.9843234513</c:v>
                </c:pt>
              </c:numCache>
            </c:numRef>
          </c:val>
          <c:smooth val="0"/>
          <c:extLst>
            <c:ext xmlns:c16="http://schemas.microsoft.com/office/drawing/2014/chart" uri="{C3380CC4-5D6E-409C-BE32-E72D297353CC}">
              <c16:uniqueId val="{00000005-48E7-4454-B856-72E0811C1171}"/>
            </c:ext>
          </c:extLst>
        </c:ser>
        <c:dLbls>
          <c:showLegendKey val="0"/>
          <c:showVal val="0"/>
          <c:showCatName val="0"/>
          <c:showSerName val="0"/>
          <c:showPercent val="0"/>
          <c:showBubbleSize val="0"/>
        </c:dLbls>
        <c:marker val="1"/>
        <c:smooth val="0"/>
        <c:axId val="267769344"/>
        <c:axId val="267770520"/>
      </c:lineChart>
      <c:catAx>
        <c:axId val="267769344"/>
        <c:scaling>
          <c:orientation val="minMax"/>
        </c:scaling>
        <c:delete val="0"/>
        <c:axPos val="b"/>
        <c:numFmt formatCode="0%" sourceLinked="1"/>
        <c:majorTickMark val="out"/>
        <c:minorTickMark val="none"/>
        <c:tickLblPos val="nextTo"/>
        <c:crossAx val="267770520"/>
        <c:crossesAt val="-100000000"/>
        <c:auto val="1"/>
        <c:lblAlgn val="ctr"/>
        <c:lblOffset val="100"/>
        <c:noMultiLvlLbl val="0"/>
      </c:catAx>
      <c:valAx>
        <c:axId val="267770520"/>
        <c:scaling>
          <c:orientation val="minMax"/>
        </c:scaling>
        <c:delete val="0"/>
        <c:axPos val="l"/>
        <c:majorGridlines/>
        <c:numFmt formatCode="0" sourceLinked="0"/>
        <c:majorTickMark val="out"/>
        <c:minorTickMark val="none"/>
        <c:tickLblPos val="nextTo"/>
        <c:crossAx val="267769344"/>
        <c:crosses val="autoZero"/>
        <c:crossBetween val="between"/>
      </c:valAx>
    </c:plotArea>
    <c:legend>
      <c:legendPos val="r"/>
      <c:layout>
        <c:manualLayout>
          <c:xMode val="edge"/>
          <c:yMode val="edge"/>
          <c:x val="0.41036015317278662"/>
          <c:y val="0.59570015921324826"/>
          <c:w val="0.44269928706755884"/>
          <c:h val="0.28406315097820478"/>
        </c:manualLayout>
      </c:layout>
      <c:overlay val="0"/>
      <c:spPr>
        <a:solidFill>
          <a:schemeClr val="bg1">
            <a:alpha val="50000"/>
          </a:schemeClr>
        </a:solidFill>
      </c:spPr>
      <c:txPr>
        <a:bodyPr/>
        <a:lstStyle/>
        <a:p>
          <a:pPr>
            <a:defRPr sz="900"/>
          </a:pPr>
          <a:endParaRPr lang="fi-FI"/>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sensitivity!$O$1</c:f>
          <c:strCache>
            <c:ptCount val="1"/>
            <c:pt idx="0">
              <c:v>Profitability Index</c:v>
            </c:pt>
          </c:strCache>
        </c:strRef>
      </c:tx>
      <c:layout>
        <c:manualLayout>
          <c:xMode val="edge"/>
          <c:yMode val="edge"/>
          <c:x val="0.41489911987705291"/>
          <c:y val="2.7777777777777776E-2"/>
        </c:manualLayout>
      </c:layout>
      <c:overlay val="0"/>
      <c:txPr>
        <a:bodyPr/>
        <a:lstStyle/>
        <a:p>
          <a:pPr>
            <a:defRPr sz="1200"/>
          </a:pPr>
          <a:endParaRPr lang="fi-FI"/>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sensitivity!$O$3:$Y$3</c:f>
              <c:numCache>
                <c:formatCode>0.00</c:formatCode>
                <c:ptCount val="11"/>
                <c:pt idx="0">
                  <c:v>1.9604557566729786</c:v>
                </c:pt>
                <c:pt idx="1">
                  <c:v>1.8631830294002514</c:v>
                </c:pt>
                <c:pt idx="2">
                  <c:v>1.7659103021275238</c:v>
                </c:pt>
                <c:pt idx="3">
                  <c:v>1.6686375748547968</c:v>
                </c:pt>
                <c:pt idx="4">
                  <c:v>1.5713648475820692</c:v>
                </c:pt>
                <c:pt idx="5">
                  <c:v>1.4740921203093418</c:v>
                </c:pt>
                <c:pt idx="6">
                  <c:v>1.3768193930366146</c:v>
                </c:pt>
                <c:pt idx="7">
                  <c:v>1.2795466657638874</c:v>
                </c:pt>
                <c:pt idx="8">
                  <c:v>1.1822739384911602</c:v>
                </c:pt>
                <c:pt idx="9">
                  <c:v>1.0850012112184328</c:v>
                </c:pt>
                <c:pt idx="10">
                  <c:v>0.98772848394570556</c:v>
                </c:pt>
              </c:numCache>
            </c:numRef>
          </c:val>
          <c:smooth val="0"/>
          <c:extLst>
            <c:ext xmlns:c16="http://schemas.microsoft.com/office/drawing/2014/chart" uri="{C3380CC4-5D6E-409C-BE32-E72D297353CC}">
              <c16:uniqueId val="{00000000-A454-4747-BF76-5E8383F5317A}"/>
            </c:ext>
          </c:extLst>
        </c:ser>
        <c:ser>
          <c:idx val="3"/>
          <c:order val="1"/>
          <c:tx>
            <c:strRef>
              <c:f>sensitivity!$A$4</c:f>
              <c:strCache>
                <c:ptCount val="1"/>
                <c:pt idx="0">
                  <c:v>Sales price per bottle</c:v>
                </c:pt>
              </c:strCache>
            </c:strRef>
          </c:tx>
          <c:spPr>
            <a:ln w="25400">
              <a:solidFill>
                <a:srgbClr val="92D050"/>
              </a:solidFill>
            </a:ln>
          </c:spPr>
          <c:marker>
            <c:symbol val="circle"/>
            <c:size val="5"/>
            <c:spPr>
              <a:solidFill>
                <a:srgbClr val="92D050"/>
              </a:solidFill>
              <a:ln>
                <a:solidFill>
                  <a:srgbClr val="00B05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sensitivity!$O$4:$Y$4</c:f>
              <c:numCache>
                <c:formatCode>0.00</c:formatCode>
                <c:ptCount val="11"/>
                <c:pt idx="0">
                  <c:v>1.2710488877432604</c:v>
                </c:pt>
                <c:pt idx="1">
                  <c:v>1.3116575342564767</c:v>
                </c:pt>
                <c:pt idx="2">
                  <c:v>1.3522661807696932</c:v>
                </c:pt>
                <c:pt idx="3">
                  <c:v>1.3928748272829092</c:v>
                </c:pt>
                <c:pt idx="4">
                  <c:v>1.4334834737961257</c:v>
                </c:pt>
                <c:pt idx="5">
                  <c:v>1.4740921203093418</c:v>
                </c:pt>
                <c:pt idx="6">
                  <c:v>1.5147007668225583</c:v>
                </c:pt>
                <c:pt idx="7">
                  <c:v>1.5553094133357748</c:v>
                </c:pt>
                <c:pt idx="8">
                  <c:v>1.595918059848991</c:v>
                </c:pt>
                <c:pt idx="9">
                  <c:v>1.6365267063622073</c:v>
                </c:pt>
                <c:pt idx="10">
                  <c:v>1.6771353528754236</c:v>
                </c:pt>
              </c:numCache>
            </c:numRef>
          </c:val>
          <c:smooth val="0"/>
          <c:extLst>
            <c:ext xmlns:c16="http://schemas.microsoft.com/office/drawing/2014/chart" uri="{C3380CC4-5D6E-409C-BE32-E72D297353CC}">
              <c16:uniqueId val="{00000001-A454-4747-BF76-5E8383F5317A}"/>
            </c:ext>
          </c:extLst>
        </c:ser>
        <c:ser>
          <c:idx val="4"/>
          <c:order val="2"/>
          <c:tx>
            <c:strRef>
              <c:f>sensitivity!$A$5</c:f>
              <c:strCache>
                <c:ptCount val="1"/>
                <c:pt idx="0">
                  <c:v>Nominal Discount Rate</c:v>
                </c:pt>
              </c:strCache>
            </c:strRef>
          </c:tx>
          <c:spPr>
            <a:ln w="25400">
              <a:solidFill>
                <a:srgbClr val="FFC000"/>
              </a:solidFill>
            </a:ln>
          </c:spPr>
          <c:marker>
            <c:symbol val="circle"/>
            <c:size val="5"/>
            <c:spPr>
              <a:solidFill>
                <a:srgbClr val="FFC000"/>
              </a:solidFill>
              <a:ln>
                <a:solidFill>
                  <a:schemeClr val="accent6"/>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sensitivity!$O$5:$Y$5</c:f>
              <c:numCache>
                <c:formatCode>0.00</c:formatCode>
                <c:ptCount val="11"/>
                <c:pt idx="0">
                  <c:v>2.0796442898265957</c:v>
                </c:pt>
                <c:pt idx="1">
                  <c:v>1.9334516077794641</c:v>
                </c:pt>
                <c:pt idx="2">
                  <c:v>1.8012299830884868</c:v>
                </c:pt>
                <c:pt idx="3">
                  <c:v>1.6814602612970408</c:v>
                </c:pt>
                <c:pt idx="4">
                  <c:v>1.5728065382944796</c:v>
                </c:pt>
                <c:pt idx="5">
                  <c:v>1.4740921203093418</c:v>
                </c:pt>
                <c:pt idx="6">
                  <c:v>1.3842788684652274</c:v>
                </c:pt>
                <c:pt idx="7">
                  <c:v>1.3024494212142361</c:v>
                </c:pt>
                <c:pt idx="8">
                  <c:v>1.2277918680752071</c:v>
                </c:pt>
                <c:pt idx="9">
                  <c:v>1.1595865149078912</c:v>
                </c:pt>
                <c:pt idx="10">
                  <c:v>1.0971944367630961</c:v>
                </c:pt>
              </c:numCache>
            </c:numRef>
          </c:val>
          <c:smooth val="0"/>
          <c:extLst>
            <c:ext xmlns:c16="http://schemas.microsoft.com/office/drawing/2014/chart" uri="{C3380CC4-5D6E-409C-BE32-E72D297353CC}">
              <c16:uniqueId val="{00000002-A454-4747-BF76-5E8383F5317A}"/>
            </c:ext>
          </c:extLst>
        </c:ser>
        <c:ser>
          <c:idx val="5"/>
          <c:order val="3"/>
          <c:tx>
            <c:strRef>
              <c:f>sensitivity!$A$6</c:f>
              <c:strCache>
                <c:ptCount val="1"/>
                <c:pt idx="0">
                  <c:v>Inflation Rate</c:v>
                </c:pt>
              </c:strCache>
            </c:strRef>
          </c:tx>
          <c:spPr>
            <a:ln w="25400">
              <a:solidFill>
                <a:srgbClr val="FF0000"/>
              </a:solidFill>
            </a:ln>
          </c:spPr>
          <c:marker>
            <c:symbol val="circle"/>
            <c:size val="5"/>
            <c:spPr>
              <a:solidFill>
                <a:srgbClr val="FF0000"/>
              </a:solidFill>
              <a:ln>
                <a:solidFill>
                  <a:srgbClr val="C0000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sensitivity!$O$6:$Y$6</c:f>
              <c:numCache>
                <c:formatCode>0.00</c:formatCode>
                <c:ptCount val="11"/>
                <c:pt idx="0">
                  <c:v>1.290283540624602</c:v>
                </c:pt>
                <c:pt idx="1">
                  <c:v>1.3247058269321481</c:v>
                </c:pt>
                <c:pt idx="2">
                  <c:v>1.3602608587346503</c:v>
                </c:pt>
                <c:pt idx="3">
                  <c:v>1.3969850306417857</c:v>
                </c:pt>
                <c:pt idx="4">
                  <c:v>1.4349158799213464</c:v>
                </c:pt>
                <c:pt idx="5">
                  <c:v>1.4740921203093418</c:v>
                </c:pt>
                <c:pt idx="6">
                  <c:v>1.5145536767370882</c:v>
                </c:pt>
                <c:pt idx="7">
                  <c:v>1.5563417209974952</c:v>
                </c:pt>
                <c:pt idx="8">
                  <c:v>1.5994987083732459</c:v>
                </c:pt>
                <c:pt idx="9">
                  <c:v>1.6440684152500253</c:v>
                </c:pt>
                <c:pt idx="10">
                  <c:v>1.6900959777384919</c:v>
                </c:pt>
              </c:numCache>
            </c:numRef>
          </c:val>
          <c:smooth val="0"/>
          <c:extLst>
            <c:ext xmlns:c16="http://schemas.microsoft.com/office/drawing/2014/chart" uri="{C3380CC4-5D6E-409C-BE32-E72D297353CC}">
              <c16:uniqueId val="{00000003-A454-4747-BF76-5E8383F5317A}"/>
            </c:ext>
          </c:extLst>
        </c:ser>
        <c:ser>
          <c:idx val="6"/>
          <c:order val="4"/>
          <c:tx>
            <c:strRef>
              <c:f>sensitivity!$A$7</c:f>
              <c:strCache>
                <c:ptCount val="1"/>
                <c:pt idx="0">
                  <c:v>Sales unit after three years</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A454-4747-BF76-5E8383F5317A}"/>
              </c:ext>
            </c:extLst>
          </c:dPt>
          <c:dLbls>
            <c:dLbl>
              <c:idx val="5"/>
              <c:layout>
                <c:manualLayout>
                  <c:x val="-4.655781031543519E-2"/>
                  <c:y val="-6.52894429862933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454-4747-BF76-5E8383F5317A}"/>
                </c:ext>
              </c:extLst>
            </c:dLbl>
            <c:numFmt formatCode="0.0%" sourceLinked="0"/>
            <c:spPr>
              <a:noFill/>
              <a:ln>
                <a:noFill/>
              </a:ln>
              <a:effectLst/>
            </c:spPr>
            <c:txPr>
              <a:bodyPr/>
              <a:lstStyle/>
              <a:p>
                <a:pPr>
                  <a:defRPr b="1"/>
                </a:pPr>
                <a:endParaRPr lang="fi-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sensitivity!$O$7:$Y$7</c:f>
              <c:numCache>
                <c:formatCode>0.00</c:formatCode>
                <c:ptCount val="11"/>
                <c:pt idx="0">
                  <c:v>0.98001414218633898</c:v>
                </c:pt>
                <c:pt idx="1">
                  <c:v>1.0788297378109395</c:v>
                </c:pt>
                <c:pt idx="2">
                  <c:v>1.1776453334355401</c:v>
                </c:pt>
                <c:pt idx="3">
                  <c:v>1.2764609290601407</c:v>
                </c:pt>
                <c:pt idx="4">
                  <c:v>1.3752765246847414</c:v>
                </c:pt>
                <c:pt idx="5">
                  <c:v>1.4740921203093418</c:v>
                </c:pt>
                <c:pt idx="6">
                  <c:v>1.5729077159339426</c:v>
                </c:pt>
                <c:pt idx="7">
                  <c:v>1.671723311558543</c:v>
                </c:pt>
                <c:pt idx="8">
                  <c:v>1.7705389071831441</c:v>
                </c:pt>
                <c:pt idx="9">
                  <c:v>1.8693545028077443</c:v>
                </c:pt>
                <c:pt idx="10">
                  <c:v>1.9681700984323451</c:v>
                </c:pt>
              </c:numCache>
            </c:numRef>
          </c:val>
          <c:smooth val="0"/>
          <c:extLst>
            <c:ext xmlns:c16="http://schemas.microsoft.com/office/drawing/2014/chart" uri="{C3380CC4-5D6E-409C-BE32-E72D297353CC}">
              <c16:uniqueId val="{00000005-A454-4747-BF76-5E8383F5317A}"/>
            </c:ext>
          </c:extLst>
        </c:ser>
        <c:dLbls>
          <c:showLegendKey val="0"/>
          <c:showVal val="0"/>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out"/>
        <c:minorTickMark val="none"/>
        <c:tickLblPos val="nextTo"/>
        <c:crossAx val="267771696"/>
        <c:crossesAt val="-100000000"/>
        <c:auto val="1"/>
        <c:lblAlgn val="ctr"/>
        <c:lblOffset val="100"/>
        <c:noMultiLvlLbl val="0"/>
      </c:catAx>
      <c:valAx>
        <c:axId val="267771696"/>
        <c:scaling>
          <c:orientation val="minMax"/>
        </c:scaling>
        <c:delete val="0"/>
        <c:axPos val="l"/>
        <c:majorGridlines/>
        <c:numFmt formatCode="0%" sourceLinked="0"/>
        <c:majorTickMark val="out"/>
        <c:minorTickMark val="none"/>
        <c:tickLblPos val="nextTo"/>
        <c:crossAx val="267771304"/>
        <c:crosses val="autoZero"/>
        <c:crossBetween val="between"/>
      </c:valAx>
    </c:plotArea>
    <c:legend>
      <c:legendPos val="r"/>
      <c:layout>
        <c:manualLayout>
          <c:xMode val="edge"/>
          <c:yMode val="edge"/>
          <c:x val="0.41267818747969437"/>
          <c:y val="0.62828594342373867"/>
          <c:w val="0.45751189133347203"/>
          <c:h val="0.2467140565762613"/>
        </c:manualLayout>
      </c:layout>
      <c:overlay val="0"/>
      <c:spPr>
        <a:solidFill>
          <a:schemeClr val="bg1">
            <a:alpha val="50000"/>
          </a:schemeClr>
        </a:solidFill>
      </c:spPr>
      <c:txPr>
        <a:bodyPr/>
        <a:lstStyle/>
        <a:p>
          <a:pPr>
            <a:defRPr sz="900"/>
          </a:pPr>
          <a:endParaRPr lang="fi-FI"/>
        </a:p>
      </c:txPr>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X$4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image" Target="../media/image1.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26</xdr:col>
      <xdr:colOff>0</xdr:colOff>
      <xdr:row>27</xdr:row>
      <xdr:rowOff>147412</xdr:rowOff>
    </xdr:from>
    <xdr:to>
      <xdr:col>27</xdr:col>
      <xdr:colOff>0</xdr:colOff>
      <xdr:row>31</xdr:row>
      <xdr:rowOff>45359</xdr:rowOff>
    </xdr:to>
    <xdr:sp macro="[0]!Breakeven_analysis_macro" textlink="">
      <xdr:nvSpPr>
        <xdr:cNvPr id="2" name="Oval 1">
          <a:extLst>
            <a:ext uri="{FF2B5EF4-FFF2-40B4-BE49-F238E27FC236}">
              <a16:creationId xmlns:a16="http://schemas.microsoft.com/office/drawing/2014/main" id="{3CB19342-CAA2-C05E-F100-B32B7ED7C239}"/>
            </a:ext>
          </a:extLst>
        </xdr:cNvPr>
        <xdr:cNvSpPr/>
      </xdr:nvSpPr>
      <xdr:spPr>
        <a:xfrm>
          <a:off x="34448750" y="5567591"/>
          <a:ext cx="1406071" cy="669018"/>
        </a:xfrm>
        <a:prstGeom prst="ellipse">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latin typeface="Times New Roman" panose="02020603050405020304" pitchFamily="18" charset="0"/>
              <a:cs typeface="Times New Roman" panose="02020603050405020304" pitchFamily="18" charset="0"/>
            </a:rPr>
            <a:t>Break</a:t>
          </a:r>
          <a:r>
            <a:rPr lang="en-GB" sz="1100" b="1"/>
            <a:t>_even analysis</a:t>
          </a:r>
        </a:p>
      </xdr:txBody>
    </xdr:sp>
    <xdr:clientData/>
  </xdr:twoCellAnchor>
  <mc:AlternateContent xmlns:mc="http://schemas.openxmlformats.org/markup-compatibility/2006">
    <mc:Choice xmlns:a14="http://schemas.microsoft.com/office/drawing/2010/main" Requires="a14">
      <xdr:twoCellAnchor editAs="oneCell">
        <xdr:from>
          <xdr:col>23</xdr:col>
          <xdr:colOff>838200</xdr:colOff>
          <xdr:row>42</xdr:row>
          <xdr:rowOff>139700</xdr:rowOff>
        </xdr:from>
        <xdr:to>
          <xdr:col>23</xdr:col>
          <xdr:colOff>1320800</xdr:colOff>
          <xdr:row>44</xdr:row>
          <xdr:rowOff>12700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850900</xdr:colOff>
          <xdr:row>43</xdr:row>
          <xdr:rowOff>139700</xdr:rowOff>
        </xdr:from>
        <xdr:to>
          <xdr:col>23</xdr:col>
          <xdr:colOff>1282700</xdr:colOff>
          <xdr:row>45</xdr:row>
          <xdr:rowOff>25400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850900</xdr:colOff>
          <xdr:row>44</xdr:row>
          <xdr:rowOff>139700</xdr:rowOff>
        </xdr:from>
        <xdr:to>
          <xdr:col>23</xdr:col>
          <xdr:colOff>1282700</xdr:colOff>
          <xdr:row>46</xdr:row>
          <xdr:rowOff>25400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30480</xdr:colOff>
      <xdr:row>10</xdr:row>
      <xdr:rowOff>110490</xdr:rowOff>
    </xdr:from>
    <xdr:to>
      <xdr:col>13</xdr:col>
      <xdr:colOff>7620</xdr:colOff>
      <xdr:row>25</xdr:row>
      <xdr:rowOff>137160</xdr:rowOff>
    </xdr:to>
    <xdr:graphicFrame macro="">
      <xdr:nvGraphicFramePr>
        <xdr:cNvPr id="2" name="Диаграмма 1">
          <a:extLst>
            <a:ext uri="{FF2B5EF4-FFF2-40B4-BE49-F238E27FC236}">
              <a16:creationId xmlns:a16="http://schemas.microsoft.com/office/drawing/2014/main" id="{6E81E1DA-4E4A-4DC4-9C31-24DE6A5604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152400</xdr:colOff>
          <xdr:row>10</xdr:row>
          <xdr:rowOff>101600</xdr:rowOff>
        </xdr:from>
        <xdr:to>
          <xdr:col>0</xdr:col>
          <xdr:colOff>1384300</xdr:colOff>
          <xdr:row>12</xdr:row>
          <xdr:rowOff>139700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Renew</a:t>
              </a:r>
            </a:p>
          </xdr:txBody>
        </xdr:sp>
        <xdr:clientData fPrintsWithSheet="0"/>
      </xdr:twoCellAnchor>
    </mc:Choice>
    <mc:Fallback/>
  </mc:AlternateContent>
  <xdr:twoCellAnchor>
    <xdr:from>
      <xdr:col>13</xdr:col>
      <xdr:colOff>586740</xdr:colOff>
      <xdr:row>10</xdr:row>
      <xdr:rowOff>114300</xdr:rowOff>
    </xdr:from>
    <xdr:to>
      <xdr:col>25</xdr:col>
      <xdr:colOff>472440</xdr:colOff>
      <xdr:row>25</xdr:row>
      <xdr:rowOff>114300</xdr:rowOff>
    </xdr:to>
    <xdr:graphicFrame macro="">
      <xdr:nvGraphicFramePr>
        <xdr:cNvPr id="3" name="Диаграмма 5">
          <a:extLst>
            <a:ext uri="{FF2B5EF4-FFF2-40B4-BE49-F238E27FC236}">
              <a16:creationId xmlns:a16="http://schemas.microsoft.com/office/drawing/2014/main" id="{DA462162-AB09-4380-97AF-5CCD0B9431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371475</xdr:colOff>
      <xdr:row>13</xdr:row>
      <xdr:rowOff>123826</xdr:rowOff>
    </xdr:from>
    <xdr:to>
      <xdr:col>3</xdr:col>
      <xdr:colOff>790575</xdr:colOff>
      <xdr:row>17</xdr:row>
      <xdr:rowOff>85726</xdr:rowOff>
    </xdr:to>
    <xdr:sp macro="[0]!macro_monte_carlo" textlink="">
      <xdr:nvSpPr>
        <xdr:cNvPr id="2" name="Oval 1">
          <a:extLst>
            <a:ext uri="{FF2B5EF4-FFF2-40B4-BE49-F238E27FC236}">
              <a16:creationId xmlns:a16="http://schemas.microsoft.com/office/drawing/2014/main" id="{25CB2692-E627-A71E-3A4B-CFD9BEB72F87}"/>
            </a:ext>
          </a:extLst>
        </xdr:cNvPr>
        <xdr:cNvSpPr/>
      </xdr:nvSpPr>
      <xdr:spPr>
        <a:xfrm>
          <a:off x="2876550" y="2600326"/>
          <a:ext cx="1466850" cy="7239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RUN</a:t>
          </a:r>
        </a:p>
        <a:p>
          <a:pPr algn="ct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54</xdr:row>
      <xdr:rowOff>33337</xdr:rowOff>
    </xdr:from>
    <xdr:to>
      <xdr:col>8</xdr:col>
      <xdr:colOff>152400</xdr:colOff>
      <xdr:row>68</xdr:row>
      <xdr:rowOff>109537</xdr:rowOff>
    </xdr:to>
    <xdr:graphicFrame macro="">
      <xdr:nvGraphicFramePr>
        <xdr:cNvPr id="2" name="Chart 1">
          <a:extLst>
            <a:ext uri="{FF2B5EF4-FFF2-40B4-BE49-F238E27FC236}">
              <a16:creationId xmlns:a16="http://schemas.microsoft.com/office/drawing/2014/main" id="{2A8E23BC-F022-C63D-7961-CB904E93C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338137</xdr:colOff>
      <xdr:row>54</xdr:row>
      <xdr:rowOff>33337</xdr:rowOff>
    </xdr:from>
    <xdr:to>
      <xdr:col>17</xdr:col>
      <xdr:colOff>33337</xdr:colOff>
      <xdr:row>68</xdr:row>
      <xdr:rowOff>109537</xdr:rowOff>
    </xdr:to>
    <xdr:graphicFrame macro="">
      <xdr:nvGraphicFramePr>
        <xdr:cNvPr id="3" name="Chart 2">
          <a:extLst>
            <a:ext uri="{FF2B5EF4-FFF2-40B4-BE49-F238E27FC236}">
              <a16:creationId xmlns:a16="http://schemas.microsoft.com/office/drawing/2014/main" id="{C3E2A98E-9775-C0F3-611D-573D1CE749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185737</xdr:colOff>
      <xdr:row>54</xdr:row>
      <xdr:rowOff>14287</xdr:rowOff>
    </xdr:from>
    <xdr:to>
      <xdr:col>26</xdr:col>
      <xdr:colOff>366712</xdr:colOff>
      <xdr:row>68</xdr:row>
      <xdr:rowOff>90487</xdr:rowOff>
    </xdr:to>
    <xdr:graphicFrame macro="">
      <xdr:nvGraphicFramePr>
        <xdr:cNvPr id="4" name="Chart 3">
          <a:extLst>
            <a:ext uri="{FF2B5EF4-FFF2-40B4-BE49-F238E27FC236}">
              <a16:creationId xmlns:a16="http://schemas.microsoft.com/office/drawing/2014/main" id="{D8E00C9E-5F5D-C3C0-2219-4999B74DA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509587</xdr:colOff>
      <xdr:row>53</xdr:row>
      <xdr:rowOff>185737</xdr:rowOff>
    </xdr:from>
    <xdr:to>
      <xdr:col>34</xdr:col>
      <xdr:colOff>376237</xdr:colOff>
      <xdr:row>68</xdr:row>
      <xdr:rowOff>71437</xdr:rowOff>
    </xdr:to>
    <xdr:graphicFrame macro="">
      <xdr:nvGraphicFramePr>
        <xdr:cNvPr id="5" name="Chart 4">
          <a:extLst>
            <a:ext uri="{FF2B5EF4-FFF2-40B4-BE49-F238E27FC236}">
              <a16:creationId xmlns:a16="http://schemas.microsoft.com/office/drawing/2014/main" id="{69912408-167B-4A68-9685-6A86D1C24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185737</xdr:colOff>
      <xdr:row>54</xdr:row>
      <xdr:rowOff>4762</xdr:rowOff>
    </xdr:from>
    <xdr:to>
      <xdr:col>42</xdr:col>
      <xdr:colOff>490537</xdr:colOff>
      <xdr:row>68</xdr:row>
      <xdr:rowOff>80962</xdr:rowOff>
    </xdr:to>
    <xdr:graphicFrame macro="">
      <xdr:nvGraphicFramePr>
        <xdr:cNvPr id="6" name="Chart 5">
          <a:extLst>
            <a:ext uri="{FF2B5EF4-FFF2-40B4-BE49-F238E27FC236}">
              <a16:creationId xmlns:a16="http://schemas.microsoft.com/office/drawing/2014/main" id="{A8E469FC-4702-6D84-EF04-53F9341EDD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504825</xdr:colOff>
      <xdr:row>29</xdr:row>
      <xdr:rowOff>5603</xdr:rowOff>
    </xdr:from>
    <xdr:to>
      <xdr:col>7</xdr:col>
      <xdr:colOff>561975</xdr:colOff>
      <xdr:row>43</xdr:row>
      <xdr:rowOff>161925</xdr:rowOff>
    </xdr:to>
    <xdr:graphicFrame macro="">
      <xdr:nvGraphicFramePr>
        <xdr:cNvPr id="2" name="Chart 2">
          <a:extLst>
            <a:ext uri="{FF2B5EF4-FFF2-40B4-BE49-F238E27FC236}">
              <a16:creationId xmlns:a16="http://schemas.microsoft.com/office/drawing/2014/main" id="{0AB6DAD1-359D-10E8-69A1-9B60608D6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76200</xdr:colOff>
      <xdr:row>11</xdr:row>
      <xdr:rowOff>2800</xdr:rowOff>
    </xdr:from>
    <xdr:to>
      <xdr:col>7</xdr:col>
      <xdr:colOff>485775</xdr:colOff>
      <xdr:row>24</xdr:row>
      <xdr:rowOff>180975</xdr:rowOff>
    </xdr:to>
    <xdr:graphicFrame macro="">
      <xdr:nvGraphicFramePr>
        <xdr:cNvPr id="3" name="Chart 6">
          <a:extLst>
            <a:ext uri="{FF2B5EF4-FFF2-40B4-BE49-F238E27FC236}">
              <a16:creationId xmlns:a16="http://schemas.microsoft.com/office/drawing/2014/main" id="{96ECFA67-42E3-B7F3-634E-28A83060FA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523876</xdr:colOff>
      <xdr:row>29</xdr:row>
      <xdr:rowOff>9524</xdr:rowOff>
    </xdr:from>
    <xdr:to>
      <xdr:col>15</xdr:col>
      <xdr:colOff>180975</xdr:colOff>
      <xdr:row>44</xdr:row>
      <xdr:rowOff>47625</xdr:rowOff>
    </xdr:to>
    <xdr:graphicFrame macro="">
      <xdr:nvGraphicFramePr>
        <xdr:cNvPr id="4" name="Chart 3">
          <a:extLst>
            <a:ext uri="{FF2B5EF4-FFF2-40B4-BE49-F238E27FC236}">
              <a16:creationId xmlns:a16="http://schemas.microsoft.com/office/drawing/2014/main" id="{9246BF52-C0D9-48C9-A103-452788479B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533400</xdr:colOff>
      <xdr:row>10</xdr:row>
      <xdr:rowOff>142875</xdr:rowOff>
    </xdr:from>
    <xdr:to>
      <xdr:col>15</xdr:col>
      <xdr:colOff>419100</xdr:colOff>
      <xdr:row>25</xdr:row>
      <xdr:rowOff>38100</xdr:rowOff>
    </xdr:to>
    <xdr:graphicFrame macro="">
      <xdr:nvGraphicFramePr>
        <xdr:cNvPr id="5" name="Chart 4">
          <a:extLst>
            <a:ext uri="{FF2B5EF4-FFF2-40B4-BE49-F238E27FC236}">
              <a16:creationId xmlns:a16="http://schemas.microsoft.com/office/drawing/2014/main" id="{44D247DE-4850-4C0E-A093-ECC62F0B3F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590550</xdr:colOff>
      <xdr:row>4</xdr:row>
      <xdr:rowOff>76201</xdr:rowOff>
    </xdr:from>
    <xdr:to>
      <xdr:col>4</xdr:col>
      <xdr:colOff>171449</xdr:colOff>
      <xdr:row>6</xdr:row>
      <xdr:rowOff>66676</xdr:rowOff>
    </xdr:to>
    <xdr:sp macro="" textlink="Report!$F$27">
      <xdr:nvSpPr>
        <xdr:cNvPr id="6" name="Rectangle: Rounded Corners 5">
          <a:extLst>
            <a:ext uri="{FF2B5EF4-FFF2-40B4-BE49-F238E27FC236}">
              <a16:creationId xmlns:a16="http://schemas.microsoft.com/office/drawing/2014/main" id="{5C8C48EF-D0EE-C374-FF42-AC59B2F350EC}"/>
            </a:ext>
          </a:extLst>
        </xdr:cNvPr>
        <xdr:cNvSpPr/>
      </xdr:nvSpPr>
      <xdr:spPr>
        <a:xfrm>
          <a:off x="1200150" y="1028701"/>
          <a:ext cx="2257424" cy="381000"/>
        </a:xfrm>
        <a:prstGeom prst="roundRect">
          <a:avLst/>
        </a:prstGeom>
        <a:solidFill>
          <a:schemeClr val="accent4"/>
        </a:solidFill>
        <a:ln cmpd="sng"/>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3DA53B-D10C-4A66-A16C-493EF1C60CB4}" type="TxLink">
            <a:rPr lang="en-US" sz="1100" b="0" i="0" u="none" strike="noStrike">
              <a:solidFill>
                <a:srgbClr val="000000"/>
              </a:solidFill>
              <a:latin typeface="Aptos Narrow"/>
            </a:rPr>
            <a:pPr algn="l"/>
            <a:t> </a:t>
          </a:fld>
          <a:r>
            <a:rPr lang="en-US" sz="1100" b="0" i="0" u="none" strike="noStrike">
              <a:solidFill>
                <a:srgbClr val="000000"/>
              </a:solidFill>
              <a:latin typeface="Aptos Narrow"/>
            </a:rPr>
            <a:t>Net</a:t>
          </a:r>
          <a:r>
            <a:rPr lang="en-US" sz="1100" b="0" i="0" u="none" strike="noStrike" baseline="0">
              <a:solidFill>
                <a:srgbClr val="000000"/>
              </a:solidFill>
              <a:latin typeface="Aptos Narrow"/>
            </a:rPr>
            <a:t> Present Value</a:t>
          </a:r>
          <a:endParaRPr lang="en-GB" sz="1100"/>
        </a:p>
      </xdr:txBody>
    </xdr:sp>
    <xdr:clientData/>
  </xdr:twoCellAnchor>
  <xdr:twoCellAnchor>
    <xdr:from>
      <xdr:col>4</xdr:col>
      <xdr:colOff>457200</xdr:colOff>
      <xdr:row>4</xdr:row>
      <xdr:rowOff>76201</xdr:rowOff>
    </xdr:from>
    <xdr:to>
      <xdr:col>7</xdr:col>
      <xdr:colOff>123826</xdr:colOff>
      <xdr:row>6</xdr:row>
      <xdr:rowOff>28576</xdr:rowOff>
    </xdr:to>
    <xdr:sp macro="" textlink="Report!$F$27">
      <xdr:nvSpPr>
        <xdr:cNvPr id="7" name="Rectangle: Rounded Corners 6">
          <a:extLst>
            <a:ext uri="{FF2B5EF4-FFF2-40B4-BE49-F238E27FC236}">
              <a16:creationId xmlns:a16="http://schemas.microsoft.com/office/drawing/2014/main" id="{287D4901-856B-4312-B99B-F2224AD40F57}"/>
            </a:ext>
          </a:extLst>
        </xdr:cNvPr>
        <xdr:cNvSpPr/>
      </xdr:nvSpPr>
      <xdr:spPr>
        <a:xfrm>
          <a:off x="3743325" y="1028701"/>
          <a:ext cx="1495426" cy="342900"/>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3DA53B-D10C-4A66-A16C-493EF1C60CB4}" type="TxLink">
            <a:rPr lang="en-US" sz="1100" b="0" i="0" u="none" strike="noStrike">
              <a:solidFill>
                <a:srgbClr val="000000"/>
              </a:solidFill>
              <a:latin typeface="Aptos Narrow"/>
            </a:rPr>
            <a:pPr algn="l"/>
            <a:t> </a:t>
          </a:fld>
          <a:r>
            <a:rPr lang="en-US" sz="1100" b="0" i="0" u="none" strike="noStrike">
              <a:solidFill>
                <a:srgbClr val="000000"/>
              </a:solidFill>
              <a:latin typeface="Aptos Narrow"/>
            </a:rPr>
            <a:t>Internal</a:t>
          </a:r>
          <a:r>
            <a:rPr lang="en-US" sz="1100" b="0" i="0" u="none" strike="noStrike" baseline="0">
              <a:solidFill>
                <a:srgbClr val="000000"/>
              </a:solidFill>
              <a:latin typeface="Aptos Narrow"/>
            </a:rPr>
            <a:t> Rate of Return</a:t>
          </a:r>
          <a:endParaRPr lang="en-GB" sz="1100"/>
        </a:p>
      </xdr:txBody>
    </xdr:sp>
    <xdr:clientData/>
  </xdr:twoCellAnchor>
  <xdr:twoCellAnchor>
    <xdr:from>
      <xdr:col>7</xdr:col>
      <xdr:colOff>523874</xdr:colOff>
      <xdr:row>4</xdr:row>
      <xdr:rowOff>85725</xdr:rowOff>
    </xdr:from>
    <xdr:to>
      <xdr:col>10</xdr:col>
      <xdr:colOff>152399</xdr:colOff>
      <xdr:row>6</xdr:row>
      <xdr:rowOff>47625</xdr:rowOff>
    </xdr:to>
    <xdr:sp macro="" textlink="Report!$F$27">
      <xdr:nvSpPr>
        <xdr:cNvPr id="8" name="Rectangle: Rounded Corners 7">
          <a:extLst>
            <a:ext uri="{FF2B5EF4-FFF2-40B4-BE49-F238E27FC236}">
              <a16:creationId xmlns:a16="http://schemas.microsoft.com/office/drawing/2014/main" id="{3D9E4A19-0B91-4D65-9C84-E3836141525B}"/>
            </a:ext>
          </a:extLst>
        </xdr:cNvPr>
        <xdr:cNvSpPr/>
      </xdr:nvSpPr>
      <xdr:spPr>
        <a:xfrm>
          <a:off x="5638799" y="1038225"/>
          <a:ext cx="1457325" cy="352425"/>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3DA53B-D10C-4A66-A16C-493EF1C60CB4}" type="TxLink">
            <a:rPr lang="en-US" sz="1100" b="0" i="0" u="none" strike="noStrike">
              <a:solidFill>
                <a:srgbClr val="000000"/>
              </a:solidFill>
              <a:latin typeface="Aptos Narrow"/>
            </a:rPr>
            <a:pPr algn="l"/>
            <a:t> </a:t>
          </a:fld>
          <a:r>
            <a:rPr lang="en-US" sz="1100" b="0" i="0" u="none" strike="noStrike">
              <a:solidFill>
                <a:srgbClr val="000000"/>
              </a:solidFill>
              <a:latin typeface="Aptos Narrow"/>
            </a:rPr>
            <a:t>Profitability</a:t>
          </a:r>
          <a:r>
            <a:rPr lang="en-US" sz="1100" b="0" i="0" u="none" strike="noStrike" baseline="0">
              <a:solidFill>
                <a:srgbClr val="000000"/>
              </a:solidFill>
              <a:latin typeface="Aptos Narrow"/>
            </a:rPr>
            <a:t> Index</a:t>
          </a:r>
          <a:endParaRPr lang="en-GB" sz="1100"/>
        </a:p>
      </xdr:txBody>
    </xdr:sp>
    <xdr:clientData/>
  </xdr:twoCellAnchor>
  <xdr:twoCellAnchor>
    <xdr:from>
      <xdr:col>10</xdr:col>
      <xdr:colOff>514350</xdr:colOff>
      <xdr:row>4</xdr:row>
      <xdr:rowOff>76201</xdr:rowOff>
    </xdr:from>
    <xdr:to>
      <xdr:col>13</xdr:col>
      <xdr:colOff>447676</xdr:colOff>
      <xdr:row>6</xdr:row>
      <xdr:rowOff>57150</xdr:rowOff>
    </xdr:to>
    <xdr:sp macro="" textlink="Report!$F$27">
      <xdr:nvSpPr>
        <xdr:cNvPr id="9" name="Rectangle: Rounded Corners 8">
          <a:extLst>
            <a:ext uri="{FF2B5EF4-FFF2-40B4-BE49-F238E27FC236}">
              <a16:creationId xmlns:a16="http://schemas.microsoft.com/office/drawing/2014/main" id="{C30B0CDA-8939-450E-A9A0-73C4B78EB432}"/>
            </a:ext>
          </a:extLst>
        </xdr:cNvPr>
        <xdr:cNvSpPr/>
      </xdr:nvSpPr>
      <xdr:spPr>
        <a:xfrm>
          <a:off x="7458075" y="1028701"/>
          <a:ext cx="2124076" cy="371474"/>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3DA53B-D10C-4A66-A16C-493EF1C60CB4}" type="TxLink">
            <a:rPr lang="en-US" sz="1100" b="0" i="0" u="none" strike="noStrike">
              <a:solidFill>
                <a:srgbClr val="000000"/>
              </a:solidFill>
              <a:latin typeface="Aptos Narrow"/>
            </a:rPr>
            <a:pPr algn="l"/>
            <a:t> </a:t>
          </a:fld>
          <a:r>
            <a:rPr lang="en-US" sz="1100" b="0" i="0" u="none" strike="noStrike">
              <a:solidFill>
                <a:srgbClr val="000000"/>
              </a:solidFill>
              <a:latin typeface="Aptos Narrow"/>
            </a:rPr>
            <a:t>Payback</a:t>
          </a:r>
          <a:r>
            <a:rPr lang="en-US" sz="1100" b="0" i="0" u="none" strike="noStrike" baseline="0">
              <a:solidFill>
                <a:srgbClr val="000000"/>
              </a:solidFill>
              <a:latin typeface="Aptos Narrow"/>
            </a:rPr>
            <a:t> Period from year 0</a:t>
          </a:r>
          <a:endParaRPr lang="en-GB" sz="1100"/>
        </a:p>
      </xdr:txBody>
    </xdr:sp>
    <xdr:clientData/>
  </xdr:twoCellAnchor>
  <xdr:twoCellAnchor>
    <xdr:from>
      <xdr:col>14</xdr:col>
      <xdr:colOff>28575</xdr:colOff>
      <xdr:row>4</xdr:row>
      <xdr:rowOff>76200</xdr:rowOff>
    </xdr:from>
    <xdr:to>
      <xdr:col>15</xdr:col>
      <xdr:colOff>600075</xdr:colOff>
      <xdr:row>6</xdr:row>
      <xdr:rowOff>57150</xdr:rowOff>
    </xdr:to>
    <xdr:sp macro="" textlink="Report!$F$27">
      <xdr:nvSpPr>
        <xdr:cNvPr id="10" name="Rectangle: Rounded Corners 9">
          <a:extLst>
            <a:ext uri="{FF2B5EF4-FFF2-40B4-BE49-F238E27FC236}">
              <a16:creationId xmlns:a16="http://schemas.microsoft.com/office/drawing/2014/main" id="{4DC64ED9-6283-4A91-8239-3FF71B3D9078}"/>
            </a:ext>
          </a:extLst>
        </xdr:cNvPr>
        <xdr:cNvSpPr/>
      </xdr:nvSpPr>
      <xdr:spPr>
        <a:xfrm>
          <a:off x="9772650" y="1028700"/>
          <a:ext cx="1181100" cy="371475"/>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3DA53B-D10C-4A66-A16C-493EF1C60CB4}" type="TxLink">
            <a:rPr lang="en-US" sz="1100" b="0" i="0" u="none" strike="noStrike">
              <a:solidFill>
                <a:srgbClr val="000000"/>
              </a:solidFill>
              <a:latin typeface="Aptos Narrow"/>
            </a:rPr>
            <a:pPr algn="l"/>
            <a:t> </a:t>
          </a:fld>
          <a:r>
            <a:rPr lang="en-US" sz="1100" b="0" i="0" u="none" strike="noStrike">
              <a:solidFill>
                <a:srgbClr val="000000"/>
              </a:solidFill>
              <a:latin typeface="Aptos Narrow"/>
            </a:rPr>
            <a:t>DPP</a:t>
          </a:r>
          <a:r>
            <a:rPr lang="en-US" sz="1100" b="0" i="0" u="none" strike="noStrike" baseline="0">
              <a:solidFill>
                <a:srgbClr val="000000"/>
              </a:solidFill>
              <a:latin typeface="Aptos Narrow"/>
            </a:rPr>
            <a:t> from year 0</a:t>
          </a:r>
          <a:endParaRPr lang="en-GB" sz="1100"/>
        </a:p>
      </xdr:txBody>
    </xdr:sp>
    <xdr:clientData/>
  </xdr:twoCellAnchor>
  <xdr:twoCellAnchor>
    <xdr:from>
      <xdr:col>2</xdr:col>
      <xdr:colOff>190500</xdr:colOff>
      <xdr:row>46</xdr:row>
      <xdr:rowOff>123825</xdr:rowOff>
    </xdr:from>
    <xdr:to>
      <xdr:col>14</xdr:col>
      <xdr:colOff>457200</xdr:colOff>
      <xdr:row>70</xdr:row>
      <xdr:rowOff>19050</xdr:rowOff>
    </xdr:to>
    <xdr:sp macro="" textlink="">
      <xdr:nvSpPr>
        <xdr:cNvPr id="11" name="TextBox 10">
          <a:extLst>
            <a:ext uri="{FF2B5EF4-FFF2-40B4-BE49-F238E27FC236}">
              <a16:creationId xmlns:a16="http://schemas.microsoft.com/office/drawing/2014/main" id="{59831091-E9F8-BF4F-E620-EAC9EEFC435F}"/>
            </a:ext>
          </a:extLst>
        </xdr:cNvPr>
        <xdr:cNvSpPr txBox="1"/>
      </xdr:nvSpPr>
      <xdr:spPr>
        <a:xfrm>
          <a:off x="1409700" y="9086850"/>
          <a:ext cx="8791575" cy="446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According to the the profitability indicators,</a:t>
          </a:r>
          <a:r>
            <a:rPr lang="en-GB" sz="1100" baseline="0"/>
            <a:t> here is what can be understood:</a:t>
          </a:r>
        </a:p>
        <a:p>
          <a:r>
            <a:rPr lang="en-GB" sz="1100" baseline="0"/>
            <a:t> -A positive NPV indicates that the project is expected to generate value beyond the cost of capital. In this case, the NPV of 4,740,921 suggests the project is profitable and adds value to the firm.</a:t>
          </a:r>
        </a:p>
        <a:p>
          <a:endParaRPr lang="en-GB" sz="1100" baseline="0"/>
        </a:p>
        <a:p>
          <a:r>
            <a:rPr lang="en-GB" sz="1100" baseline="0"/>
            <a:t> -A 12% IRR is generally acceptable, but its attractiveness depends on the company's cost of capital. If the cost of capital is lower than 12%, the project is profitable.</a:t>
          </a:r>
        </a:p>
        <a:p>
          <a:endParaRPr lang="en-GB" sz="1100" baseline="0"/>
        </a:p>
        <a:p>
          <a:r>
            <a:rPr lang="en-GB" sz="1100" baseline="0"/>
            <a:t>-The 9.87-year DPP means that the initial investment will be recovered in present value terms 9.87 years after the start of construction. Since the project starts generating cash flows in Year 2, the DPP implies that the payback occurs 7.87 years after the project becomes operational (i.e., 9.87 - 2 = 7.87 years). This is a longer payback period than the regular PP, reflecting the impact of discounting and the back-loaded nature of the cash flows. </a:t>
          </a:r>
        </a:p>
        <a:p>
          <a:endParaRPr lang="en-GB" sz="1100" baseline="0"/>
        </a:p>
        <a:p>
          <a:r>
            <a:rPr lang="en-GB" sz="1100" baseline="0"/>
            <a:t>-Since the project has a 2-year construction phase, the 8.17-year payback period means that the initial investment of 10,000,000 will be recovered 8.17 years after the start of construction. This implies that the project will start generating cash flows in Year 2, and the payback will occur 6.17 years after the project becomes operational (i.e., 8.17 - 2 = 6.17 years). This is still a relatively long payback period, which may indicate higher risk or lower liquidity, but it is more reasonable when considering the 2-year construction phase.</a:t>
          </a:r>
        </a:p>
        <a:p>
          <a:endParaRPr lang="en-GB" sz="1100" baseline="0"/>
        </a:p>
        <a:p>
          <a:r>
            <a:rPr lang="en-GB" sz="1100" baseline="0"/>
            <a:t>-A PI greater than 1 indicates that the project is profitable. A PI of 1.47 means that for every dollar invested, the project generates $1.47 in present value terms. This is a strong indicator of profitability.</a:t>
          </a:r>
        </a:p>
        <a:p>
          <a:endParaRPr lang="en-GB" sz="1100" baseline="0"/>
        </a:p>
        <a:p>
          <a:r>
            <a:rPr lang="en-GB" sz="1100" baseline="0"/>
            <a:t> The investment is profitable based on the NPV, IRR, and PI. However, the payback and discounted payback periods are still relatively long, even after adjusting for the 2-year construction phase. This suggests that the project may be riskier or less liquid, particularly because the cash flows are back-loaded. If the company's cost of capital is lower than 12% and it is comfortable with the longer payback periods, the project is likely a good investment. Otherwise, the company may need to consider the risk associated with the delayed cash flows.</a:t>
          </a:r>
        </a:p>
      </xdr:txBody>
    </xdr:sp>
    <xdr:clientData/>
  </xdr:twoCellAnchor>
  <xdr:twoCellAnchor>
    <xdr:from>
      <xdr:col>18</xdr:col>
      <xdr:colOff>476250</xdr:colOff>
      <xdr:row>75</xdr:row>
      <xdr:rowOff>95250</xdr:rowOff>
    </xdr:from>
    <xdr:to>
      <xdr:col>20</xdr:col>
      <xdr:colOff>438150</xdr:colOff>
      <xdr:row>79</xdr:row>
      <xdr:rowOff>180975</xdr:rowOff>
    </xdr:to>
    <xdr:sp macro="[0]!print_report" textlink="">
      <xdr:nvSpPr>
        <xdr:cNvPr id="12" name="Arrow: Right 11">
          <a:extLst>
            <a:ext uri="{FF2B5EF4-FFF2-40B4-BE49-F238E27FC236}">
              <a16:creationId xmlns:a16="http://schemas.microsoft.com/office/drawing/2014/main" id="{8912ED65-079A-1F8E-707C-B92153A568B4}"/>
            </a:ext>
          </a:extLst>
        </xdr:cNvPr>
        <xdr:cNvSpPr/>
      </xdr:nvSpPr>
      <xdr:spPr>
        <a:xfrm>
          <a:off x="12658725" y="14582775"/>
          <a:ext cx="1181100" cy="847725"/>
        </a:xfrm>
        <a:prstGeom prst="rightArrow">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PRINT</a:t>
          </a:r>
        </a:p>
      </xdr:txBody>
    </xdr:sp>
    <xdr:clientData/>
  </xdr:twoCellAnchor>
  <xdr:twoCellAnchor>
    <xdr:from>
      <xdr:col>2</xdr:col>
      <xdr:colOff>628650</xdr:colOff>
      <xdr:row>83</xdr:row>
      <xdr:rowOff>19050</xdr:rowOff>
    </xdr:from>
    <xdr:to>
      <xdr:col>3</xdr:col>
      <xdr:colOff>663121</xdr:colOff>
      <xdr:row>86</xdr:row>
      <xdr:rowOff>116568</xdr:rowOff>
    </xdr:to>
    <xdr:sp macro="[0]!Breakeven_analysis_macro" textlink="">
      <xdr:nvSpPr>
        <xdr:cNvPr id="15" name="Oval 14">
          <a:extLst>
            <a:ext uri="{FF2B5EF4-FFF2-40B4-BE49-F238E27FC236}">
              <a16:creationId xmlns:a16="http://schemas.microsoft.com/office/drawing/2014/main" id="{8F966E25-52EB-4DE9-ACA1-D8C1B62B16B6}"/>
            </a:ext>
          </a:extLst>
        </xdr:cNvPr>
        <xdr:cNvSpPr/>
      </xdr:nvSpPr>
      <xdr:spPr>
        <a:xfrm>
          <a:off x="1847850" y="16030575"/>
          <a:ext cx="1406071" cy="669018"/>
        </a:xfrm>
        <a:prstGeom prst="ellipse">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latin typeface="Times New Roman" panose="02020603050405020304" pitchFamily="18" charset="0"/>
              <a:cs typeface="Times New Roman" panose="02020603050405020304" pitchFamily="18" charset="0"/>
            </a:rPr>
            <a:t>Break</a:t>
          </a:r>
          <a:r>
            <a:rPr lang="en-GB" sz="1100" b="1"/>
            <a:t>_even analysis</a:t>
          </a:r>
        </a:p>
      </xdr:txBody>
    </xdr:sp>
    <xdr:clientData/>
  </xdr:twoCellAnchor>
  <xdr:twoCellAnchor>
    <xdr:from>
      <xdr:col>11</xdr:col>
      <xdr:colOff>66676</xdr:colOff>
      <xdr:row>98</xdr:row>
      <xdr:rowOff>28575</xdr:rowOff>
    </xdr:from>
    <xdr:to>
      <xdr:col>22</xdr:col>
      <xdr:colOff>228600</xdr:colOff>
      <xdr:row>113</xdr:row>
      <xdr:rowOff>55245</xdr:rowOff>
    </xdr:to>
    <xdr:graphicFrame macro="">
      <xdr:nvGraphicFramePr>
        <xdr:cNvPr id="17" name="Диаграмма 1">
          <a:extLst>
            <a:ext uri="{FF2B5EF4-FFF2-40B4-BE49-F238E27FC236}">
              <a16:creationId xmlns:a16="http://schemas.microsoft.com/office/drawing/2014/main" id="{2161315D-FC25-4975-BF87-DC307A277C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447675</xdr:colOff>
      <xdr:row>98</xdr:row>
      <xdr:rowOff>38100</xdr:rowOff>
    </xdr:from>
    <xdr:to>
      <xdr:col>10</xdr:col>
      <xdr:colOff>466725</xdr:colOff>
      <xdr:row>113</xdr:row>
      <xdr:rowOff>38100</xdr:rowOff>
    </xdr:to>
    <xdr:graphicFrame macro="">
      <xdr:nvGraphicFramePr>
        <xdr:cNvPr id="19" name="Диаграмма 5">
          <a:extLst>
            <a:ext uri="{FF2B5EF4-FFF2-40B4-BE49-F238E27FC236}">
              <a16:creationId xmlns:a16="http://schemas.microsoft.com/office/drawing/2014/main" id="{96AE9837-81DA-4228-95E6-D274AF2230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22</xdr:col>
          <xdr:colOff>469900</xdr:colOff>
          <xdr:row>114</xdr:row>
          <xdr:rowOff>25400</xdr:rowOff>
        </xdr:from>
        <xdr:to>
          <xdr:col>24</xdr:col>
          <xdr:colOff>482600</xdr:colOff>
          <xdr:row>116</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Renew</a:t>
              </a:r>
            </a:p>
          </xdr:txBody>
        </xdr:sp>
        <xdr:clientData fPrintsWithSheet="0"/>
      </xdr:twoCellAnchor>
    </mc:Choice>
    <mc:Fallback/>
  </mc:AlternateContent>
  <xdr:twoCellAnchor>
    <xdr:from>
      <xdr:col>2</xdr:col>
      <xdr:colOff>476251</xdr:colOff>
      <xdr:row>87</xdr:row>
      <xdr:rowOff>180975</xdr:rowOff>
    </xdr:from>
    <xdr:to>
      <xdr:col>22</xdr:col>
      <xdr:colOff>285750</xdr:colOff>
      <xdr:row>96</xdr:row>
      <xdr:rowOff>57149</xdr:rowOff>
    </xdr:to>
    <xdr:sp macro="" textlink="">
      <xdr:nvSpPr>
        <xdr:cNvPr id="14" name="TextBox 13">
          <a:extLst>
            <a:ext uri="{FF2B5EF4-FFF2-40B4-BE49-F238E27FC236}">
              <a16:creationId xmlns:a16="http://schemas.microsoft.com/office/drawing/2014/main" id="{A1ACED85-2A32-18B6-6DCC-EC780ED6C4A7}"/>
            </a:ext>
          </a:extLst>
        </xdr:cNvPr>
        <xdr:cNvSpPr txBox="1"/>
      </xdr:nvSpPr>
      <xdr:spPr>
        <a:xfrm>
          <a:off x="1695451" y="16954500"/>
          <a:ext cx="13211174" cy="1590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sensitivity analysis illustrates how key variables affect both the Profitability Index and Net Present Value (NPV) of the investment:</a:t>
          </a:r>
        </a:p>
        <a:p>
          <a:r>
            <a:rPr lang="en-GB" sz="1100"/>
            <a:t>The left graph shows the Profitability Index responding to percentage changes in variables. Most notably, increasing the sales units after three years (blue line) significantly improves profitability, rising from about 100% to 200% as values change from -50% to +50%. Conversely, higher sales price per bottle and investment (green lines) show diminishing returns as they increase, while inflation rate (red) gradually increases profitability.</a:t>
          </a:r>
        </a:p>
        <a:p>
          <a:r>
            <a:rPr lang="en-GB" sz="1100"/>
            <a:t>The right graph displays NPV impacts, showing that sales units after three years is the most sensitive variable, swinging from negative to strongly positive NPV (approximately $9.5 million at +50%). The NPV at baseline is $4,740,921.2, indicating the project is profitable under current assumptions. Notably, only increasing sales volume consistently improves NPV across all scenarios, while other variables show either diminishing returns or negative effects at higher values.</a:t>
          </a:r>
        </a:p>
        <a:p>
          <a:r>
            <a:rPr lang="en-GB" sz="1100"/>
            <a:t>This analysis suggests the investment's success hinges most critically on achieving or exceeding the projected sales volume after three years, while being relatively less sensitive to changes in other variables.</a:t>
          </a:r>
        </a:p>
        <a:p>
          <a:endParaRPr lang="en-GB" sz="1100"/>
        </a:p>
      </xdr:txBody>
    </xdr:sp>
    <xdr:clientData/>
  </xdr:twoCellAnchor>
  <xdr:twoCellAnchor editAs="oneCell">
    <xdr:from>
      <xdr:col>1</xdr:col>
      <xdr:colOff>495300</xdr:colOff>
      <xdr:row>120</xdr:row>
      <xdr:rowOff>180975</xdr:rowOff>
    </xdr:from>
    <xdr:to>
      <xdr:col>8</xdr:col>
      <xdr:colOff>600804</xdr:colOff>
      <xdr:row>136</xdr:row>
      <xdr:rowOff>162348</xdr:rowOff>
    </xdr:to>
    <xdr:pic>
      <xdr:nvPicPr>
        <xdr:cNvPr id="16" name="Picture 15">
          <a:extLst>
            <a:ext uri="{FF2B5EF4-FFF2-40B4-BE49-F238E27FC236}">
              <a16:creationId xmlns:a16="http://schemas.microsoft.com/office/drawing/2014/main" id="{6884DE4A-F3D4-4B8A-8893-EB51599B1E62}"/>
            </a:ext>
          </a:extLst>
        </xdr:cNvPr>
        <xdr:cNvPicPr>
          <a:picLocks noChangeAspect="1"/>
        </xdr:cNvPicPr>
      </xdr:nvPicPr>
      <xdr:blipFill>
        <a:blip xmlns:r="http://schemas.openxmlformats.org/officeDocument/2006/relationships" r:embed="rId7"/>
        <a:stretch>
          <a:fillRect/>
        </a:stretch>
      </xdr:blipFill>
      <xdr:spPr>
        <a:xfrm>
          <a:off x="1104900" y="23241000"/>
          <a:ext cx="5220429" cy="3029373"/>
        </a:xfrm>
        <a:prstGeom prst="rect">
          <a:avLst/>
        </a:prstGeom>
      </xdr:spPr>
    </xdr:pic>
    <xdr:clientData/>
  </xdr:twoCellAnchor>
  <xdr:twoCellAnchor>
    <xdr:from>
      <xdr:col>10</xdr:col>
      <xdr:colOff>495299</xdr:colOff>
      <xdr:row>120</xdr:row>
      <xdr:rowOff>133349</xdr:rowOff>
    </xdr:from>
    <xdr:to>
      <xdr:col>21</xdr:col>
      <xdr:colOff>295274</xdr:colOff>
      <xdr:row>136</xdr:row>
      <xdr:rowOff>114300</xdr:rowOff>
    </xdr:to>
    <xdr:sp macro="" textlink="">
      <xdr:nvSpPr>
        <xdr:cNvPr id="18" name="TextBox 17">
          <a:extLst>
            <a:ext uri="{FF2B5EF4-FFF2-40B4-BE49-F238E27FC236}">
              <a16:creationId xmlns:a16="http://schemas.microsoft.com/office/drawing/2014/main" id="{232CF091-7D5B-A983-72A2-DD44E4D57939}"/>
            </a:ext>
          </a:extLst>
        </xdr:cNvPr>
        <xdr:cNvSpPr txBox="1"/>
      </xdr:nvSpPr>
      <xdr:spPr>
        <a:xfrm>
          <a:off x="7439024" y="23193374"/>
          <a:ext cx="6867525" cy="3028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scenario summary presents a sensitivity analysis examining how three key variables (taxes, production costs, and inflation rate) affect the investment's financial metrics across pessimistic, realistic, and optimistic scenarios.</a:t>
          </a:r>
        </a:p>
        <a:p>
          <a:endParaRPr lang="en-GB" sz="1100"/>
        </a:p>
        <a:p>
          <a:r>
            <a:rPr lang="en-GB" sz="1100"/>
            <a:t>The current values (also represented in the realistic scenario) show a favorable NPV of $4,740,921 with a 12% IRR and profitability index of 1.47, indicating a profitable venture. The pessimistic scenario significantly degrades performance by increasing taxes to 25%, doubling production costs to $1.00, and raising inflation to 8%. This reduces NPV to $3,406,981, drops IRR to 6%, and extends the payback period to 10.58 years from 8.17 years.</a:t>
          </a:r>
        </a:p>
        <a:p>
          <a:endParaRPr lang="en-GB" sz="1100"/>
        </a:p>
        <a:p>
          <a:r>
            <a:rPr lang="en-GB" sz="1100"/>
            <a:t>The optimistic scenario, with lower taxes (15%), halved production costs ($0.25), and deflation (-2%), improves IRR to 16% but surprisingly reduces NPV to $1,848,052 and PI to 1.18, suggesting some counterintuitive relationships. The discounted payback period (DPP) increases to 11.19 years in this scenario, which is unexpected for an "optimistic" case.</a:t>
          </a:r>
        </a:p>
        <a:p>
          <a:endParaRPr lang="en-GB" sz="1100"/>
        </a:p>
        <a:p>
          <a:r>
            <a:rPr lang="en-GB" sz="1100"/>
            <a:t>Overall, while the investment appears generally profitable across all scenarios, production costs and inflation have substantial impacts on performance metrics, and there appears to be an optimal balance rather than a simple linear relationship between more favorable input conditions and better outcomes.</a:t>
          </a:r>
        </a:p>
        <a:p>
          <a:endParaRPr lang="en-GB" sz="1100"/>
        </a:p>
      </xdr:txBody>
    </xdr:sp>
    <xdr:clientData/>
  </xdr:twoCellAnchor>
  <xdr:twoCellAnchor>
    <xdr:from>
      <xdr:col>8</xdr:col>
      <xdr:colOff>76200</xdr:colOff>
      <xdr:row>71</xdr:row>
      <xdr:rowOff>114300</xdr:rowOff>
    </xdr:from>
    <xdr:to>
      <xdr:col>14</xdr:col>
      <xdr:colOff>571500</xdr:colOff>
      <xdr:row>81</xdr:row>
      <xdr:rowOff>171450</xdr:rowOff>
    </xdr:to>
    <xdr:sp macro="" textlink="">
      <xdr:nvSpPr>
        <xdr:cNvPr id="20" name="TextBox 19">
          <a:extLst>
            <a:ext uri="{FF2B5EF4-FFF2-40B4-BE49-F238E27FC236}">
              <a16:creationId xmlns:a16="http://schemas.microsoft.com/office/drawing/2014/main" id="{3B5BC234-8DDF-D6CD-DDED-2364BA47DF25}"/>
            </a:ext>
          </a:extLst>
        </xdr:cNvPr>
        <xdr:cNvSpPr txBox="1"/>
      </xdr:nvSpPr>
      <xdr:spPr>
        <a:xfrm>
          <a:off x="5800725" y="13839825"/>
          <a:ext cx="4514850" cy="1962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Based on the data in the first image, this break-even analysis evaluates a $15,837,697.52 investment in what appears to be a bottled product venture. The analysis projects sales of 780,338.11 bottles after three years at a price point of $1.45 per bottle. With a nominal discount rate of 17% and an inflation rate of 2%, the analysis aims to determine when the cumulative discounted revenue from bottle sales will offset the substantial initial investment. The projected sales volume indicates the estimated quantity needed to reach the break-even point, accounting for the time value of money through the relatively high discount rate.</a:t>
          </a:r>
          <a:endParaRPr lang="en-GB" sz="1100"/>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D868B-22FA-460D-ABF6-6C9F3B15D0E8}" name="Table1" displayName="Table1" ref="X4:Y19" totalsRowShown="0">
  <autoFilter ref="X4:Y19" xr:uid="{048D868B-22FA-460D-ABF6-6C9F3B15D0E8}"/>
  <tableColumns count="2">
    <tableColumn id="1" xr3:uid="{A70A0CD5-CD41-4737-8623-8A662E54B174}" name="New Plant Project Details" dataDxfId="0"/>
    <tableColumn id="2" xr3:uid="{DEA062BD-CFC8-429B-8910-15F646A510BB}" name="Valu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1DA44-82EC-42E0-A29D-C403D7130BFC}">
  <sheetPr codeName="Sheet1"/>
  <dimension ref="G1:AC75"/>
  <sheetViews>
    <sheetView tabSelected="1" topLeftCell="B2" zoomScale="84" zoomScaleNormal="84" workbookViewId="0">
      <selection activeCell="H76" sqref="H76"/>
    </sheetView>
  </sheetViews>
  <sheetFormatPr baseColWidth="10" defaultColWidth="8.83203125" defaultRowHeight="15" x14ac:dyDescent="0.2"/>
  <cols>
    <col min="1" max="1" width="27.5" customWidth="1"/>
    <col min="2" max="2" width="19.6640625" customWidth="1"/>
    <col min="6" max="6" width="12.33203125" customWidth="1"/>
    <col min="7" max="7" width="34.5" customWidth="1"/>
    <col min="8" max="8" width="27.5" customWidth="1"/>
    <col min="9" max="9" width="22.5" customWidth="1"/>
    <col min="10" max="10" width="23" customWidth="1"/>
    <col min="11" max="11" width="18.5" customWidth="1"/>
    <col min="12" max="12" width="24.1640625" customWidth="1"/>
    <col min="13" max="13" width="25.6640625" customWidth="1"/>
    <col min="14" max="14" width="17.5" customWidth="1"/>
    <col min="15" max="15" width="19" customWidth="1"/>
    <col min="16" max="16" width="18.5" customWidth="1"/>
    <col min="17" max="17" width="18.1640625" customWidth="1"/>
    <col min="18" max="18" width="19" customWidth="1"/>
    <col min="19" max="19" width="17.83203125" customWidth="1"/>
    <col min="20" max="20" width="20.5" customWidth="1"/>
    <col min="21" max="21" width="17.6640625" customWidth="1"/>
    <col min="22" max="23" width="15.1640625" customWidth="1"/>
    <col min="24" max="24" width="34" customWidth="1"/>
    <col min="25" max="25" width="30.5" customWidth="1"/>
    <col min="26" max="26" width="16.33203125" customWidth="1"/>
    <col min="27" max="27" width="22.1640625" customWidth="1"/>
    <col min="28" max="28" width="28.1640625" customWidth="1"/>
    <col min="29" max="29" width="18.33203125" customWidth="1"/>
  </cols>
  <sheetData>
    <row r="1" spans="7:25" ht="26.25" customHeight="1" x14ac:dyDescent="0.2">
      <c r="H1" s="92" t="s">
        <v>0</v>
      </c>
      <c r="I1" s="92"/>
      <c r="J1" s="92"/>
      <c r="K1" s="92"/>
      <c r="L1" s="92"/>
      <c r="M1" s="92"/>
      <c r="N1" s="92"/>
      <c r="O1" s="92"/>
      <c r="P1" s="92"/>
      <c r="Q1" s="92"/>
      <c r="R1" s="92"/>
      <c r="S1" s="92"/>
    </row>
    <row r="2" spans="7:25" ht="15" customHeight="1" x14ac:dyDescent="0.2">
      <c r="H2" s="92"/>
      <c r="I2" s="92"/>
      <c r="J2" s="92"/>
      <c r="K2" s="92"/>
      <c r="L2" s="92"/>
      <c r="M2" s="92"/>
      <c r="N2" s="92"/>
      <c r="O2" s="92"/>
      <c r="P2" s="92"/>
      <c r="Q2" s="92"/>
      <c r="R2" s="92"/>
      <c r="S2" s="92"/>
      <c r="T2" s="15"/>
    </row>
    <row r="3" spans="7:25" ht="15" customHeight="1" x14ac:dyDescent="0.2">
      <c r="S3" s="15"/>
      <c r="T3" s="15"/>
    </row>
    <row r="4" spans="7:25" ht="16" x14ac:dyDescent="0.2">
      <c r="X4" s="2" t="s">
        <v>3</v>
      </c>
      <c r="Y4" s="3" t="s">
        <v>12</v>
      </c>
    </row>
    <row r="5" spans="7:25" ht="16" x14ac:dyDescent="0.2">
      <c r="G5" s="3" t="s">
        <v>1</v>
      </c>
      <c r="H5" s="3">
        <v>0</v>
      </c>
      <c r="I5" s="4">
        <f>H5+1</f>
        <v>1</v>
      </c>
      <c r="J5" s="4">
        <f t="shared" ref="J5:S5" si="0">I5+1</f>
        <v>2</v>
      </c>
      <c r="K5" s="4">
        <f t="shared" si="0"/>
        <v>3</v>
      </c>
      <c r="L5" s="4">
        <f t="shared" si="0"/>
        <v>4</v>
      </c>
      <c r="M5" s="4">
        <f t="shared" si="0"/>
        <v>5</v>
      </c>
      <c r="N5" s="4">
        <f t="shared" si="0"/>
        <v>6</v>
      </c>
      <c r="O5" s="4">
        <f t="shared" si="0"/>
        <v>7</v>
      </c>
      <c r="P5" s="4">
        <f t="shared" si="0"/>
        <v>8</v>
      </c>
      <c r="Q5" s="4">
        <f t="shared" si="0"/>
        <v>9</v>
      </c>
      <c r="R5" s="4">
        <f t="shared" si="0"/>
        <v>10</v>
      </c>
      <c r="S5" s="4">
        <f t="shared" si="0"/>
        <v>11</v>
      </c>
      <c r="T5" s="4">
        <f>S5+1</f>
        <v>12</v>
      </c>
      <c r="U5" s="4">
        <f>T5+1</f>
        <v>13</v>
      </c>
      <c r="V5" s="4">
        <f>U5+1</f>
        <v>14</v>
      </c>
      <c r="W5" s="4"/>
      <c r="X5" s="1" t="s">
        <v>1</v>
      </c>
      <c r="Y5" s="13">
        <v>10000000</v>
      </c>
    </row>
    <row r="6" spans="7:25" x14ac:dyDescent="0.2">
      <c r="G6" s="1" t="s">
        <v>2</v>
      </c>
      <c r="H6" s="11">
        <f t="shared" ref="H6:V6" si="1">-(IF(H5&lt;=1,$Y$36/$Y$6,0))</f>
        <v>-5000000</v>
      </c>
      <c r="I6" s="11">
        <f t="shared" si="1"/>
        <v>-5000000</v>
      </c>
      <c r="J6" s="11">
        <f t="shared" si="1"/>
        <v>0</v>
      </c>
      <c r="K6" s="11">
        <f t="shared" si="1"/>
        <v>0</v>
      </c>
      <c r="L6" s="11">
        <f t="shared" si="1"/>
        <v>0</v>
      </c>
      <c r="M6" s="11">
        <f t="shared" si="1"/>
        <v>0</v>
      </c>
      <c r="N6" s="11">
        <f t="shared" si="1"/>
        <v>0</v>
      </c>
      <c r="O6" s="11">
        <f t="shared" si="1"/>
        <v>0</v>
      </c>
      <c r="P6" s="11">
        <f t="shared" si="1"/>
        <v>0</v>
      </c>
      <c r="Q6" s="11">
        <f t="shared" si="1"/>
        <v>0</v>
      </c>
      <c r="R6" s="11">
        <f t="shared" si="1"/>
        <v>0</v>
      </c>
      <c r="S6" s="11">
        <f t="shared" si="1"/>
        <v>0</v>
      </c>
      <c r="T6" s="11">
        <f t="shared" si="1"/>
        <v>0</v>
      </c>
      <c r="U6" s="11">
        <f t="shared" si="1"/>
        <v>0</v>
      </c>
      <c r="V6" s="11">
        <f t="shared" si="1"/>
        <v>0</v>
      </c>
      <c r="W6" s="9"/>
      <c r="X6" s="1" t="s">
        <v>20</v>
      </c>
      <c r="Y6">
        <v>2</v>
      </c>
    </row>
    <row r="7" spans="7:25" x14ac:dyDescent="0.2">
      <c r="G7" s="1" t="s">
        <v>26</v>
      </c>
      <c r="H7" s="25">
        <v>0</v>
      </c>
      <c r="I7" s="25">
        <v>0</v>
      </c>
      <c r="J7" s="24">
        <f>Y5+J15</f>
        <v>9230769.2307692301</v>
      </c>
      <c r="K7" s="24">
        <f>J7+K15</f>
        <v>8461538.4615384601</v>
      </c>
      <c r="L7" s="24">
        <f>K7+L15</f>
        <v>7692307.6923076911</v>
      </c>
      <c r="M7" s="24">
        <f t="shared" ref="M7:U7" si="2">L7+M15</f>
        <v>6923076.9230769221</v>
      </c>
      <c r="N7" s="24">
        <f t="shared" si="2"/>
        <v>6153846.1538461531</v>
      </c>
      <c r="O7" s="24">
        <f t="shared" si="2"/>
        <v>5384615.384615384</v>
      </c>
      <c r="P7" s="24">
        <f t="shared" si="2"/>
        <v>4615384.615384615</v>
      </c>
      <c r="Q7" s="24">
        <f t="shared" si="2"/>
        <v>3846153.846153846</v>
      </c>
      <c r="R7" s="24">
        <f t="shared" si="2"/>
        <v>3076923.076923077</v>
      </c>
      <c r="S7" s="24">
        <f t="shared" si="2"/>
        <v>2307692.307692308</v>
      </c>
      <c r="T7" s="24">
        <f t="shared" si="2"/>
        <v>1538461.5384615387</v>
      </c>
      <c r="U7" s="26">
        <f t="shared" si="2"/>
        <v>769230.76923076948</v>
      </c>
      <c r="V7" s="9">
        <f>U7+V15</f>
        <v>0</v>
      </c>
      <c r="W7" s="9"/>
      <c r="X7" s="1" t="s">
        <v>28</v>
      </c>
      <c r="Y7" s="33">
        <f>(1+Y40)/(1+Y39)-1</f>
        <v>5.7692307692307709E-2</v>
      </c>
    </row>
    <row r="8" spans="7:25" x14ac:dyDescent="0.2">
      <c r="V8" s="4"/>
      <c r="W8" s="4"/>
      <c r="X8" s="1" t="s">
        <v>4</v>
      </c>
      <c r="Y8" s="5">
        <v>0.1</v>
      </c>
    </row>
    <row r="9" spans="7:25" ht="16" x14ac:dyDescent="0.2">
      <c r="G9" s="3" t="s">
        <v>11</v>
      </c>
      <c r="V9" s="4"/>
      <c r="W9" s="4"/>
      <c r="X9" s="1" t="s">
        <v>5</v>
      </c>
      <c r="Y9" s="5">
        <v>0.04</v>
      </c>
    </row>
    <row r="10" spans="7:25" x14ac:dyDescent="0.2">
      <c r="G10" s="1" t="s">
        <v>25</v>
      </c>
      <c r="H10" s="14">
        <f>IF(H5&lt;=1,0,IF(H5&lt;=4,$Y$10*$Y$37,IF(H5&lt;14,$Y$38*$Y$12,0)))</f>
        <v>0</v>
      </c>
      <c r="I10" s="14">
        <f t="shared" ref="I10:V10" si="3">IF(I5&lt;=1,0,IF(I5&lt;=4,$Y$10*$Y$37,IF(I5&lt;14,$Y$38*$Y$12,0)))</f>
        <v>0</v>
      </c>
      <c r="J10" s="14">
        <f t="shared" si="3"/>
        <v>2000000</v>
      </c>
      <c r="K10" s="14">
        <f t="shared" si="3"/>
        <v>2000000</v>
      </c>
      <c r="L10" s="14">
        <f t="shared" si="3"/>
        <v>2000000</v>
      </c>
      <c r="M10" s="14">
        <f t="shared" si="3"/>
        <v>3000000</v>
      </c>
      <c r="N10" s="14">
        <f t="shared" si="3"/>
        <v>3000000</v>
      </c>
      <c r="O10" s="14">
        <f t="shared" si="3"/>
        <v>3000000</v>
      </c>
      <c r="P10" s="14">
        <f t="shared" si="3"/>
        <v>3000000</v>
      </c>
      <c r="Q10" s="14">
        <f t="shared" si="3"/>
        <v>3000000</v>
      </c>
      <c r="R10" s="14">
        <f t="shared" si="3"/>
        <v>3000000</v>
      </c>
      <c r="S10" s="14">
        <f t="shared" si="3"/>
        <v>3000000</v>
      </c>
      <c r="T10" s="14">
        <f t="shared" si="3"/>
        <v>3000000</v>
      </c>
      <c r="U10" s="14">
        <f t="shared" si="3"/>
        <v>3000000</v>
      </c>
      <c r="V10" s="14">
        <f t="shared" si="3"/>
        <v>0</v>
      </c>
      <c r="W10" s="14"/>
      <c r="X10" s="1" t="s">
        <v>22</v>
      </c>
      <c r="Y10" s="7">
        <v>1000000</v>
      </c>
    </row>
    <row r="11" spans="7:25" x14ac:dyDescent="0.2">
      <c r="G11" s="1" t="s">
        <v>11</v>
      </c>
      <c r="H11">
        <f>-IF(H5&lt;=1,0,IF(H5&lt;=4,$Y$10*$Y$13,IF(H5&lt;14,$Y$38*$Y$13,0)))</f>
        <v>0</v>
      </c>
      <c r="I11">
        <f t="shared" ref="I11:V11" si="4">-IF(I5&lt;=1,0,IF(I5&lt;=4,$Y$10*$Y$13,IF(I5&lt;14,$Y$38*$Y$13,0)))</f>
        <v>0</v>
      </c>
      <c r="J11">
        <f>-IF(J5&lt;=1,0,IF(J5&lt;=4,$Y$10*$Y$13,IF(J5&lt;14,$Y$38*$Y$13,0)))</f>
        <v>-500000</v>
      </c>
      <c r="K11">
        <f t="shared" si="4"/>
        <v>-500000</v>
      </c>
      <c r="L11">
        <f t="shared" si="4"/>
        <v>-500000</v>
      </c>
      <c r="M11">
        <f t="shared" si="4"/>
        <v>-750000</v>
      </c>
      <c r="N11">
        <f t="shared" si="4"/>
        <v>-750000</v>
      </c>
      <c r="O11">
        <f t="shared" si="4"/>
        <v>-750000</v>
      </c>
      <c r="P11">
        <f t="shared" si="4"/>
        <v>-750000</v>
      </c>
      <c r="Q11">
        <f t="shared" si="4"/>
        <v>-750000</v>
      </c>
      <c r="R11">
        <f t="shared" si="4"/>
        <v>-750000</v>
      </c>
      <c r="S11">
        <f t="shared" si="4"/>
        <v>-750000</v>
      </c>
      <c r="T11">
        <f t="shared" si="4"/>
        <v>-750000</v>
      </c>
      <c r="U11">
        <f>-IF(U5&lt;=1,0,IF(U5&lt;=4,$Y$10*$Y$13,IF(U5&lt;14,$Y$38*$Y$13,0)))</f>
        <v>-750000</v>
      </c>
      <c r="V11">
        <f t="shared" si="4"/>
        <v>0</v>
      </c>
      <c r="W11" s="10"/>
      <c r="X11" s="1" t="s">
        <v>21</v>
      </c>
      <c r="Y11" s="7">
        <v>1500000</v>
      </c>
    </row>
    <row r="12" spans="7:25" x14ac:dyDescent="0.2">
      <c r="G12" s="1"/>
      <c r="J12" s="7"/>
      <c r="K12" s="7"/>
      <c r="L12" s="7"/>
      <c r="M12" s="7"/>
      <c r="N12" s="7"/>
      <c r="O12" s="7"/>
      <c r="P12" s="7"/>
      <c r="Q12" s="7"/>
      <c r="R12" s="7"/>
      <c r="S12" s="7"/>
      <c r="T12" s="7"/>
      <c r="U12" s="7"/>
      <c r="V12" s="4"/>
      <c r="W12" s="4"/>
      <c r="X12" s="1" t="s">
        <v>7</v>
      </c>
      <c r="Y12" s="12">
        <v>2</v>
      </c>
    </row>
    <row r="13" spans="7:25" x14ac:dyDescent="0.2">
      <c r="G13" s="16" t="s">
        <v>13</v>
      </c>
      <c r="H13" s="17">
        <f t="shared" ref="H13:T13" si="5">SUM(H10:H11)</f>
        <v>0</v>
      </c>
      <c r="I13" s="17">
        <f t="shared" si="5"/>
        <v>0</v>
      </c>
      <c r="J13" s="18">
        <f t="shared" si="5"/>
        <v>1500000</v>
      </c>
      <c r="K13" s="18">
        <f t="shared" si="5"/>
        <v>1500000</v>
      </c>
      <c r="L13" s="18">
        <f t="shared" si="5"/>
        <v>1500000</v>
      </c>
      <c r="M13" s="18">
        <f t="shared" si="5"/>
        <v>2250000</v>
      </c>
      <c r="N13" s="18">
        <f t="shared" si="5"/>
        <v>2250000</v>
      </c>
      <c r="O13" s="18">
        <f t="shared" si="5"/>
        <v>2250000</v>
      </c>
      <c r="P13" s="18">
        <f t="shared" si="5"/>
        <v>2250000</v>
      </c>
      <c r="Q13" s="18">
        <f t="shared" si="5"/>
        <v>2250000</v>
      </c>
      <c r="R13" s="18">
        <f t="shared" si="5"/>
        <v>2250000</v>
      </c>
      <c r="S13" s="18">
        <f t="shared" si="5"/>
        <v>2250000</v>
      </c>
      <c r="T13" s="18">
        <f t="shared" si="5"/>
        <v>2250000</v>
      </c>
      <c r="U13" s="18">
        <f t="shared" ref="U13" si="6">SUM(U10:U11)</f>
        <v>2250000</v>
      </c>
      <c r="V13" s="27">
        <f>SUM(V10:V11)</f>
        <v>0</v>
      </c>
      <c r="W13" s="28"/>
      <c r="X13" s="1" t="s">
        <v>6</v>
      </c>
      <c r="Y13" s="14">
        <f>VLOOKUP(X43,sc,4,FALSE)</f>
        <v>0.5</v>
      </c>
    </row>
    <row r="14" spans="7:25" x14ac:dyDescent="0.2">
      <c r="V14" s="4"/>
      <c r="W14" s="4"/>
      <c r="X14" s="1" t="s">
        <v>23</v>
      </c>
      <c r="Y14">
        <v>12</v>
      </c>
    </row>
    <row r="15" spans="7:25" x14ac:dyDescent="0.2">
      <c r="G15" s="22" t="s">
        <v>14</v>
      </c>
      <c r="H15">
        <f t="shared" ref="H15:V15" si="7">-IF(H5&gt;=2,$Y$19,0)</f>
        <v>0</v>
      </c>
      <c r="I15">
        <f t="shared" si="7"/>
        <v>0</v>
      </c>
      <c r="J15" s="6">
        <f t="shared" si="7"/>
        <v>-769230.76923076925</v>
      </c>
      <c r="K15" s="6">
        <f t="shared" si="7"/>
        <v>-769230.76923076925</v>
      </c>
      <c r="L15" s="6">
        <f t="shared" si="7"/>
        <v>-769230.76923076925</v>
      </c>
      <c r="M15" s="6">
        <f t="shared" si="7"/>
        <v>-769230.76923076925</v>
      </c>
      <c r="N15" s="6">
        <f t="shared" si="7"/>
        <v>-769230.76923076925</v>
      </c>
      <c r="O15" s="6">
        <f t="shared" si="7"/>
        <v>-769230.76923076925</v>
      </c>
      <c r="P15" s="6">
        <f t="shared" si="7"/>
        <v>-769230.76923076925</v>
      </c>
      <c r="Q15" s="6">
        <f t="shared" si="7"/>
        <v>-769230.76923076925</v>
      </c>
      <c r="R15" s="6">
        <f t="shared" si="7"/>
        <v>-769230.76923076925</v>
      </c>
      <c r="S15" s="6">
        <f t="shared" si="7"/>
        <v>-769230.76923076925</v>
      </c>
      <c r="T15" s="6">
        <f t="shared" si="7"/>
        <v>-769230.76923076925</v>
      </c>
      <c r="U15" s="6">
        <f t="shared" si="7"/>
        <v>-769230.76923076925</v>
      </c>
      <c r="V15" s="6">
        <f t="shared" si="7"/>
        <v>-769230.76923076925</v>
      </c>
      <c r="W15" s="6"/>
      <c r="X15" s="1" t="s">
        <v>8</v>
      </c>
      <c r="Y15" s="57">
        <f>VLOOKUP(X43,sc,3,FALSE)</f>
        <v>0.2</v>
      </c>
    </row>
    <row r="16" spans="7:25" x14ac:dyDescent="0.2">
      <c r="G16" s="1"/>
      <c r="J16" s="6"/>
      <c r="K16" s="6"/>
      <c r="L16" s="6"/>
      <c r="M16" s="6"/>
      <c r="N16" s="6"/>
      <c r="O16" s="6"/>
      <c r="P16" s="6"/>
      <c r="Q16" s="6"/>
      <c r="R16" s="6"/>
      <c r="S16" s="6"/>
      <c r="T16" s="6"/>
      <c r="U16" s="6"/>
      <c r="V16" s="4"/>
      <c r="W16" s="4"/>
      <c r="X16" s="1" t="s">
        <v>9</v>
      </c>
      <c r="Y16" s="13">
        <v>50000</v>
      </c>
    </row>
    <row r="17" spans="7:26" x14ac:dyDescent="0.2">
      <c r="G17" s="16" t="s">
        <v>16</v>
      </c>
      <c r="H17" s="17">
        <f>SUM(H13,H15)</f>
        <v>0</v>
      </c>
      <c r="I17" s="17">
        <f t="shared" ref="I17:J17" si="8">SUM(I13,I15)</f>
        <v>0</v>
      </c>
      <c r="J17" s="21">
        <f t="shared" si="8"/>
        <v>730769.23076923075</v>
      </c>
      <c r="K17" s="21">
        <f t="shared" ref="K17" si="9">SUM(K13,K15)</f>
        <v>730769.23076923075</v>
      </c>
      <c r="L17" s="21">
        <f t="shared" ref="L17" si="10">SUM(L13,L15)</f>
        <v>730769.23076923075</v>
      </c>
      <c r="M17" s="21">
        <f t="shared" ref="M17" si="11">SUM(M13,M15)</f>
        <v>1480769.2307692308</v>
      </c>
      <c r="N17" s="21">
        <f t="shared" ref="N17" si="12">SUM(N13,N15)</f>
        <v>1480769.2307692308</v>
      </c>
      <c r="O17" s="21">
        <f t="shared" ref="O17" si="13">SUM(O13,O15)</f>
        <v>1480769.2307692308</v>
      </c>
      <c r="P17" s="21">
        <f t="shared" ref="P17" si="14">SUM(P13,P15)</f>
        <v>1480769.2307692308</v>
      </c>
      <c r="Q17" s="21">
        <f t="shared" ref="Q17" si="15">SUM(Q13,Q15)</f>
        <v>1480769.2307692308</v>
      </c>
      <c r="R17" s="21">
        <f t="shared" ref="R17" si="16">SUM(R13,R15)</f>
        <v>1480769.2307692308</v>
      </c>
      <c r="S17" s="21">
        <f t="shared" ref="S17" si="17">SUM(S13,S15)</f>
        <v>1480769.2307692308</v>
      </c>
      <c r="T17" s="21">
        <f t="shared" ref="T17:V17" si="18">SUM(T13,T15)</f>
        <v>1480769.2307692308</v>
      </c>
      <c r="U17" s="21">
        <f t="shared" si="18"/>
        <v>1480769.2307692308</v>
      </c>
      <c r="V17" s="21">
        <f t="shared" si="18"/>
        <v>-769230.76923076925</v>
      </c>
      <c r="W17" s="29"/>
      <c r="X17" s="1" t="s">
        <v>10</v>
      </c>
      <c r="Y17" s="13">
        <v>50000</v>
      </c>
    </row>
    <row r="18" spans="7:26" x14ac:dyDescent="0.2">
      <c r="G18" s="8"/>
      <c r="J18" s="6"/>
      <c r="K18" s="6"/>
      <c r="L18" s="6"/>
      <c r="M18" s="6"/>
      <c r="N18" s="6"/>
      <c r="O18" s="6"/>
      <c r="P18" s="6"/>
      <c r="Q18" s="6"/>
      <c r="R18" s="6"/>
      <c r="S18" s="6"/>
      <c r="T18" s="6"/>
      <c r="U18" s="6"/>
      <c r="V18" s="4"/>
      <c r="W18" s="4"/>
      <c r="X18" s="1" t="s">
        <v>24</v>
      </c>
      <c r="Y18">
        <v>13</v>
      </c>
    </row>
    <row r="19" spans="7:26" x14ac:dyDescent="0.2">
      <c r="G19" s="1" t="s">
        <v>17</v>
      </c>
      <c r="H19">
        <f t="shared" ref="H19:U19" si="19">-($Y$15*H17)</f>
        <v>0</v>
      </c>
      <c r="I19">
        <f t="shared" si="19"/>
        <v>0</v>
      </c>
      <c r="J19" s="6">
        <f t="shared" si="19"/>
        <v>-146153.84615384616</v>
      </c>
      <c r="K19" s="6">
        <f t="shared" si="19"/>
        <v>-146153.84615384616</v>
      </c>
      <c r="L19" s="6">
        <f t="shared" si="19"/>
        <v>-146153.84615384616</v>
      </c>
      <c r="M19" s="6">
        <f t="shared" si="19"/>
        <v>-296153.84615384619</v>
      </c>
      <c r="N19" s="6">
        <f t="shared" si="19"/>
        <v>-296153.84615384619</v>
      </c>
      <c r="O19" s="6">
        <f t="shared" si="19"/>
        <v>-296153.84615384619</v>
      </c>
      <c r="P19" s="6">
        <f t="shared" si="19"/>
        <v>-296153.84615384619</v>
      </c>
      <c r="Q19" s="6">
        <f t="shared" si="19"/>
        <v>-296153.84615384619</v>
      </c>
      <c r="R19" s="6">
        <f t="shared" si="19"/>
        <v>-296153.84615384619</v>
      </c>
      <c r="S19" s="6">
        <f t="shared" si="19"/>
        <v>-296153.84615384619</v>
      </c>
      <c r="T19" s="6">
        <f t="shared" si="19"/>
        <v>-296153.84615384619</v>
      </c>
      <c r="U19" s="6">
        <f t="shared" si="19"/>
        <v>-296153.84615384619</v>
      </c>
      <c r="V19" s="6"/>
      <c r="W19" s="6"/>
      <c r="X19" s="1" t="s">
        <v>15</v>
      </c>
      <c r="Y19" s="12">
        <f>Y5/Y18</f>
        <v>769230.76923076925</v>
      </c>
    </row>
    <row r="20" spans="7:26" x14ac:dyDescent="0.2">
      <c r="G20" s="1" t="s">
        <v>18</v>
      </c>
      <c r="H20">
        <f t="shared" ref="H20:V20" si="20">SUM(H17:H19)</f>
        <v>0</v>
      </c>
      <c r="I20">
        <f t="shared" si="20"/>
        <v>0</v>
      </c>
      <c r="J20" s="6">
        <f t="shared" si="20"/>
        <v>584615.38461538462</v>
      </c>
      <c r="K20" s="6">
        <f t="shared" si="20"/>
        <v>584615.38461538462</v>
      </c>
      <c r="L20" s="6">
        <f t="shared" si="20"/>
        <v>584615.38461538462</v>
      </c>
      <c r="M20" s="6">
        <f t="shared" si="20"/>
        <v>1184615.3846153845</v>
      </c>
      <c r="N20" s="6">
        <f t="shared" si="20"/>
        <v>1184615.3846153845</v>
      </c>
      <c r="O20" s="6">
        <f t="shared" si="20"/>
        <v>1184615.3846153845</v>
      </c>
      <c r="P20" s="6">
        <f t="shared" si="20"/>
        <v>1184615.3846153845</v>
      </c>
      <c r="Q20" s="6">
        <f t="shared" si="20"/>
        <v>1184615.3846153845</v>
      </c>
      <c r="R20" s="6">
        <f t="shared" si="20"/>
        <v>1184615.3846153845</v>
      </c>
      <c r="S20" s="6">
        <f t="shared" si="20"/>
        <v>1184615.3846153845</v>
      </c>
      <c r="T20" s="6">
        <f t="shared" si="20"/>
        <v>1184615.3846153845</v>
      </c>
      <c r="U20" s="6">
        <f t="shared" si="20"/>
        <v>1184615.3846153845</v>
      </c>
      <c r="V20" s="6">
        <f t="shared" si="20"/>
        <v>-769230.76923076925</v>
      </c>
      <c r="W20" s="6"/>
    </row>
    <row r="21" spans="7:26" x14ac:dyDescent="0.2">
      <c r="G21" s="1" t="s">
        <v>9</v>
      </c>
      <c r="H21">
        <f t="shared" ref="H21:V21" si="21">IF(H5&lt;2,0,IF(H5&lt;=6,-$Y$16,IF(H5&lt;=8,0,IF(H5&lt;=13,$Y$17,0))))</f>
        <v>0</v>
      </c>
      <c r="I21">
        <f t="shared" si="21"/>
        <v>0</v>
      </c>
      <c r="J21">
        <f t="shared" si="21"/>
        <v>-50000</v>
      </c>
      <c r="K21">
        <f t="shared" si="21"/>
        <v>-50000</v>
      </c>
      <c r="L21">
        <f t="shared" si="21"/>
        <v>-50000</v>
      </c>
      <c r="M21">
        <f t="shared" si="21"/>
        <v>-50000</v>
      </c>
      <c r="N21">
        <f t="shared" si="21"/>
        <v>-50000</v>
      </c>
      <c r="O21">
        <f t="shared" si="21"/>
        <v>0</v>
      </c>
      <c r="P21">
        <f t="shared" si="21"/>
        <v>0</v>
      </c>
      <c r="Q21">
        <f t="shared" si="21"/>
        <v>50000</v>
      </c>
      <c r="R21">
        <f t="shared" si="21"/>
        <v>50000</v>
      </c>
      <c r="S21">
        <f t="shared" si="21"/>
        <v>50000</v>
      </c>
      <c r="T21">
        <f t="shared" si="21"/>
        <v>50000</v>
      </c>
      <c r="U21">
        <f t="shared" si="21"/>
        <v>50000</v>
      </c>
      <c r="V21">
        <f t="shared" si="21"/>
        <v>0</v>
      </c>
    </row>
    <row r="22" spans="7:26" x14ac:dyDescent="0.2">
      <c r="V22" s="4"/>
      <c r="W22" s="4"/>
    </row>
    <row r="23" spans="7:26" x14ac:dyDescent="0.2">
      <c r="G23" s="19" t="s">
        <v>34</v>
      </c>
      <c r="H23" s="31">
        <f t="shared" ref="H23:T23" si="22">H6+H13+H19+H21</f>
        <v>-5000000</v>
      </c>
      <c r="I23" s="31">
        <f t="shared" si="22"/>
        <v>-5000000</v>
      </c>
      <c r="J23" s="23">
        <f t="shared" si="22"/>
        <v>1303846.1538461538</v>
      </c>
      <c r="K23" s="23">
        <f t="shared" si="22"/>
        <v>1303846.1538461538</v>
      </c>
      <c r="L23" s="23">
        <f t="shared" si="22"/>
        <v>1303846.1538461538</v>
      </c>
      <c r="M23" s="23">
        <f t="shared" si="22"/>
        <v>1903846.1538461538</v>
      </c>
      <c r="N23" s="23">
        <f t="shared" si="22"/>
        <v>1903846.1538461538</v>
      </c>
      <c r="O23" s="23">
        <f t="shared" si="22"/>
        <v>1953846.1538461538</v>
      </c>
      <c r="P23" s="23">
        <f t="shared" si="22"/>
        <v>1953846.1538461538</v>
      </c>
      <c r="Q23" s="23">
        <f t="shared" si="22"/>
        <v>2003846.1538461538</v>
      </c>
      <c r="R23" s="23">
        <f t="shared" si="22"/>
        <v>2003846.1538461538</v>
      </c>
      <c r="S23" s="23">
        <f t="shared" si="22"/>
        <v>2003846.1538461538</v>
      </c>
      <c r="T23" s="23">
        <f t="shared" si="22"/>
        <v>2003846.1538461538</v>
      </c>
      <c r="U23" s="23">
        <f>U6+U13+U19+U21+U7</f>
        <v>2773076.923076923</v>
      </c>
      <c r="V23" s="23">
        <f>V6+V13+V19+V21</f>
        <v>0</v>
      </c>
      <c r="W23" s="30"/>
    </row>
    <row r="24" spans="7:26" x14ac:dyDescent="0.2">
      <c r="G24" s="8" t="s">
        <v>35</v>
      </c>
      <c r="H24" s="32">
        <f>SUM($H$23:H23)</f>
        <v>-5000000</v>
      </c>
      <c r="I24" s="32">
        <f>SUM($H$23:I23)</f>
        <v>-10000000</v>
      </c>
      <c r="J24" s="32">
        <f>SUM($H$23:J23)</f>
        <v>-8696153.846153846</v>
      </c>
      <c r="K24" s="32">
        <f>SUM($H$23:K23)</f>
        <v>-7392307.692307692</v>
      </c>
      <c r="L24" s="32">
        <f>SUM($H$23:L23)</f>
        <v>-6088461.538461538</v>
      </c>
      <c r="M24" s="32">
        <f>SUM($H$23:M23)</f>
        <v>-4184615.384615384</v>
      </c>
      <c r="N24" s="32">
        <f>SUM($H$23:N23)</f>
        <v>-2280769.2307692301</v>
      </c>
      <c r="O24" s="32">
        <f>SUM($H$23:O23)</f>
        <v>-326923.0769230763</v>
      </c>
      <c r="P24" s="32">
        <f>SUM($H$23:P23)</f>
        <v>1626923.0769230775</v>
      </c>
      <c r="Q24" s="32">
        <f>SUM($H$23:Q23)</f>
        <v>3630769.230769231</v>
      </c>
      <c r="R24" s="32">
        <f>SUM($H$23:R23)</f>
        <v>5634615.384615385</v>
      </c>
      <c r="S24" s="32">
        <f>SUM($H$23:S23)</f>
        <v>7638461.538461539</v>
      </c>
      <c r="T24" s="32">
        <f>SUM($H$23:T23)</f>
        <v>9642307.692307692</v>
      </c>
      <c r="U24" s="32">
        <f>SUM($H$23:U23)</f>
        <v>12415384.615384616</v>
      </c>
      <c r="V24" s="32">
        <f>SUM($H$23:V23)</f>
        <v>12415384.615384616</v>
      </c>
      <c r="W24" s="30"/>
    </row>
    <row r="25" spans="7:26" x14ac:dyDescent="0.2">
      <c r="G25" s="8" t="s">
        <v>19</v>
      </c>
      <c r="H25" s="32">
        <f t="shared" ref="H25:U25" si="23">H23/((1+$Y$7)^H$5)</f>
        <v>-5000000</v>
      </c>
      <c r="I25" s="32">
        <f>I23/((1+$Y$7)^I$5)</f>
        <v>-4727272.7272727275</v>
      </c>
      <c r="J25" s="32">
        <f t="shared" si="23"/>
        <v>1165487.603305785</v>
      </c>
      <c r="K25" s="32">
        <f t="shared" si="23"/>
        <v>1101915.5522163785</v>
      </c>
      <c r="L25" s="32">
        <f t="shared" si="23"/>
        <v>1041811.0675500308</v>
      </c>
      <c r="M25" s="32">
        <f t="shared" si="23"/>
        <v>1438252.4472372106</v>
      </c>
      <c r="N25" s="32">
        <f t="shared" si="23"/>
        <v>1359802.3137515446</v>
      </c>
      <c r="O25" s="32">
        <f t="shared" si="23"/>
        <v>1319395.3322336383</v>
      </c>
      <c r="P25" s="32">
        <f t="shared" si="23"/>
        <v>1247428.3141118034</v>
      </c>
      <c r="Q25" s="32">
        <f t="shared" si="23"/>
        <v>1209567.9271981739</v>
      </c>
      <c r="R25" s="32">
        <f t="shared" si="23"/>
        <v>1143591.4948055462</v>
      </c>
      <c r="S25" s="32">
        <f t="shared" si="23"/>
        <v>1081213.7769070619</v>
      </c>
      <c r="T25" s="32">
        <f t="shared" si="23"/>
        <v>1022238.4799848585</v>
      </c>
      <c r="U25" s="32">
        <f t="shared" si="23"/>
        <v>1337489.6210641188</v>
      </c>
      <c r="V25" s="32">
        <f>V23/(1+$Y$7)^V$5</f>
        <v>0</v>
      </c>
      <c r="W25" s="30"/>
    </row>
    <row r="26" spans="7:26" ht="18" x14ac:dyDescent="0.2">
      <c r="G26" s="20" t="s">
        <v>27</v>
      </c>
      <c r="H26" s="34">
        <f>SUM($H$25:H25)</f>
        <v>-5000000</v>
      </c>
      <c r="I26" s="34">
        <f>SUM($H$25:I25)</f>
        <v>-9727272.7272727266</v>
      </c>
      <c r="J26" s="34">
        <f>SUM($H$25:J25)</f>
        <v>-8561785.1239669416</v>
      </c>
      <c r="K26" s="34">
        <f>SUM($H$25:K25)</f>
        <v>-7459869.5717505626</v>
      </c>
      <c r="L26" s="34">
        <f>SUM($H$25:L25)</f>
        <v>-6418058.5042005321</v>
      </c>
      <c r="M26" s="34">
        <f>SUM($H$25:M25)</f>
        <v>-4979806.0569633218</v>
      </c>
      <c r="N26" s="34">
        <f>SUM($H$25:N25)</f>
        <v>-3620003.7432117769</v>
      </c>
      <c r="O26" s="34">
        <f>SUM($H$25:O25)</f>
        <v>-2300608.4109781384</v>
      </c>
      <c r="P26" s="34">
        <f>SUM($H$25:P25)</f>
        <v>-1053180.096866335</v>
      </c>
      <c r="Q26" s="34">
        <f>SUM($H$25:Q25)</f>
        <v>156387.83033183892</v>
      </c>
      <c r="R26" s="34">
        <f>SUM($H$25:R25)</f>
        <v>1299979.3251373852</v>
      </c>
      <c r="S26" s="34">
        <f>SUM($H$25:S25)</f>
        <v>2381193.1020444473</v>
      </c>
      <c r="T26" s="34">
        <f>SUM($H$25:T25)</f>
        <v>3403431.5820293059</v>
      </c>
      <c r="U26" s="34">
        <f>SUM($H$25:U25)</f>
        <v>4740921.2030934244</v>
      </c>
      <c r="V26" s="34">
        <f>SUM($H$25:V25)</f>
        <v>4740921.2030934244</v>
      </c>
      <c r="X26" s="89" t="s">
        <v>39</v>
      </c>
      <c r="Y26" s="89"/>
      <c r="Z26" s="89"/>
    </row>
    <row r="28" spans="7:26" x14ac:dyDescent="0.2">
      <c r="G28" s="40" t="s">
        <v>29</v>
      </c>
      <c r="H28" s="41">
        <f>NPV($Y$7,I23:U23)+H23</f>
        <v>4740921.2030934189</v>
      </c>
      <c r="X28" t="s">
        <v>1</v>
      </c>
      <c r="Y28" s="45">
        <v>15837697.52</v>
      </c>
    </row>
    <row r="29" spans="7:26" x14ac:dyDescent="0.2">
      <c r="G29" s="8" t="s">
        <v>33</v>
      </c>
      <c r="H29" s="39">
        <f>IRR(H23:U23)</f>
        <v>0.12265676873758991</v>
      </c>
      <c r="X29" t="s">
        <v>40</v>
      </c>
      <c r="Y29" s="46">
        <v>1.45</v>
      </c>
    </row>
    <row r="30" spans="7:26" x14ac:dyDescent="0.2">
      <c r="G30" s="8" t="s">
        <v>30</v>
      </c>
      <c r="H30" s="36">
        <f>H28/Y5 +1</f>
        <v>1.4740921203093418</v>
      </c>
      <c r="X30" t="s">
        <v>41</v>
      </c>
      <c r="Y30" s="43">
        <v>780338.11265418108</v>
      </c>
    </row>
    <row r="31" spans="7:26" x14ac:dyDescent="0.2">
      <c r="G31" s="8" t="s">
        <v>32</v>
      </c>
      <c r="H31" s="35" cm="1">
        <f t="array" ref="H31">INDEX(H5:U5, MATCH(TRUE, H24:U24 &gt;= 0, 0))  + ABS(INDEX(H24:U24, MATCH(TRUE, H24:U24 &gt;= 0, 0)-1) / INDEX(H23:U23, MATCH(TRUE, H24:U24 &gt;= 0, 0)))</f>
        <v>8.1673228346456686</v>
      </c>
      <c r="I31" s="90" t="s">
        <v>36</v>
      </c>
      <c r="J31" s="90"/>
      <c r="K31" s="90"/>
      <c r="L31" s="90"/>
      <c r="M31" s="90"/>
      <c r="X31" t="s">
        <v>5</v>
      </c>
      <c r="Y31" s="47">
        <v>-2.0181385233234643E-2</v>
      </c>
    </row>
    <row r="32" spans="7:26" x14ac:dyDescent="0.2">
      <c r="G32" s="8" t="s">
        <v>31</v>
      </c>
      <c r="H32" s="35" cm="1">
        <f t="array" ref="H32">INDEX(H5:U5, MATCH(TRUE, H26:U26 &gt;= 0, 0))  + ABS(INDEX(H26:U26, MATCH(TRUE, H26:U26 &gt;= 0, 0)-1) / INDEX(H25:U25, MATCH(TRUE, H26:U26 &gt;= 0, 0)))</f>
        <v>9.8707076908908338</v>
      </c>
      <c r="I32" s="90" t="s">
        <v>37</v>
      </c>
      <c r="J32" s="90"/>
      <c r="K32" s="90"/>
      <c r="L32" s="90"/>
      <c r="M32" s="90"/>
      <c r="X32" t="s">
        <v>42</v>
      </c>
      <c r="Y32" s="48">
        <v>0.16756303948709339</v>
      </c>
    </row>
    <row r="35" spans="7:29" ht="18" x14ac:dyDescent="0.2">
      <c r="X35" s="89" t="s">
        <v>45</v>
      </c>
      <c r="Y35" s="89"/>
      <c r="Z35" s="89"/>
    </row>
    <row r="36" spans="7:29" x14ac:dyDescent="0.2">
      <c r="X36" t="s">
        <v>1</v>
      </c>
      <c r="Y36" s="56">
        <f>Y5*sensitivity!B3</f>
        <v>10000000</v>
      </c>
    </row>
    <row r="37" spans="7:29" x14ac:dyDescent="0.2">
      <c r="X37" t="s">
        <v>40</v>
      </c>
      <c r="Y37" s="56">
        <f>Y12*sensitivity!B4</f>
        <v>2</v>
      </c>
    </row>
    <row r="38" spans="7:29" x14ac:dyDescent="0.2">
      <c r="X38" t="s">
        <v>41</v>
      </c>
      <c r="Y38" s="32">
        <f>Y11*sensitivity!B7</f>
        <v>1500000</v>
      </c>
    </row>
    <row r="39" spans="7:29" x14ac:dyDescent="0.2">
      <c r="X39" t="s">
        <v>5</v>
      </c>
      <c r="Y39" s="57">
        <f>Y9*sensitivity!B6</f>
        <v>0.04</v>
      </c>
    </row>
    <row r="40" spans="7:29" x14ac:dyDescent="0.2">
      <c r="X40" t="s">
        <v>42</v>
      </c>
      <c r="Y40" s="57">
        <f>Y8*sensitivity!B5</f>
        <v>0.1</v>
      </c>
    </row>
    <row r="42" spans="7:29" ht="18" x14ac:dyDescent="0.2">
      <c r="I42" s="91" t="s">
        <v>70</v>
      </c>
      <c r="J42" s="91"/>
      <c r="K42" s="91"/>
      <c r="L42" s="91"/>
      <c r="X42" s="89" t="s">
        <v>45</v>
      </c>
      <c r="Y42" s="89"/>
      <c r="Z42" s="89"/>
    </row>
    <row r="43" spans="7:29" x14ac:dyDescent="0.2">
      <c r="X43" s="73">
        <v>2</v>
      </c>
      <c r="Y43" s="74" t="s">
        <v>65</v>
      </c>
      <c r="Z43" s="74" t="s">
        <v>46</v>
      </c>
      <c r="AA43" s="74" t="s">
        <v>17</v>
      </c>
      <c r="AB43" s="74" t="s">
        <v>6</v>
      </c>
      <c r="AC43" s="75" t="s">
        <v>5</v>
      </c>
    </row>
    <row r="44" spans="7:29" x14ac:dyDescent="0.2">
      <c r="X44" s="76"/>
      <c r="Y44">
        <v>1</v>
      </c>
      <c r="Z44" t="s">
        <v>47</v>
      </c>
      <c r="AA44" s="83">
        <v>0.25</v>
      </c>
      <c r="AB44" s="77">
        <v>1</v>
      </c>
      <c r="AC44" s="78">
        <v>0.08</v>
      </c>
    </row>
    <row r="45" spans="7:29" x14ac:dyDescent="0.2">
      <c r="X45" s="76"/>
      <c r="Y45">
        <v>2</v>
      </c>
      <c r="Z45" t="s">
        <v>48</v>
      </c>
      <c r="AA45" s="83">
        <v>0.2</v>
      </c>
      <c r="AB45" s="77">
        <v>0.5</v>
      </c>
      <c r="AC45" s="78">
        <v>0.04</v>
      </c>
    </row>
    <row r="46" spans="7:29" x14ac:dyDescent="0.2">
      <c r="X46" s="79"/>
      <c r="Y46" s="80">
        <v>3</v>
      </c>
      <c r="Z46" s="80" t="s">
        <v>49</v>
      </c>
      <c r="AA46" s="84">
        <v>0.15</v>
      </c>
      <c r="AB46" s="81">
        <v>0.25</v>
      </c>
      <c r="AC46" s="82">
        <v>-0.02</v>
      </c>
    </row>
    <row r="48" spans="7:29" ht="16" x14ac:dyDescent="0.2">
      <c r="G48" s="3" t="s">
        <v>1</v>
      </c>
      <c r="H48" s="3">
        <v>0</v>
      </c>
      <c r="I48" s="4">
        <f>H48+1</f>
        <v>1</v>
      </c>
      <c r="J48" s="4">
        <f t="shared" ref="J48" si="24">I48+1</f>
        <v>2</v>
      </c>
      <c r="K48" s="4">
        <f t="shared" ref="K48" si="25">J48+1</f>
        <v>3</v>
      </c>
      <c r="L48" s="4">
        <f t="shared" ref="L48" si="26">K48+1</f>
        <v>4</v>
      </c>
      <c r="M48" s="4">
        <f t="shared" ref="M48" si="27">L48+1</f>
        <v>5</v>
      </c>
      <c r="N48" s="4">
        <f t="shared" ref="N48" si="28">M48+1</f>
        <v>6</v>
      </c>
      <c r="O48" s="4">
        <f t="shared" ref="O48" si="29">N48+1</f>
        <v>7</v>
      </c>
      <c r="P48" s="4">
        <f t="shared" ref="P48" si="30">O48+1</f>
        <v>8</v>
      </c>
      <c r="Q48" s="4">
        <f t="shared" ref="Q48" si="31">P48+1</f>
        <v>9</v>
      </c>
      <c r="R48" s="4">
        <f t="shared" ref="R48" si="32">Q48+1</f>
        <v>10</v>
      </c>
      <c r="S48" s="4">
        <f t="shared" ref="S48" si="33">R48+1</f>
        <v>11</v>
      </c>
      <c r="T48" s="4">
        <f>S48+1</f>
        <v>12</v>
      </c>
      <c r="U48" s="4">
        <f>T48+1</f>
        <v>13</v>
      </c>
      <c r="V48" s="4">
        <f>U48+1</f>
        <v>14</v>
      </c>
    </row>
    <row r="49" spans="7:25" x14ac:dyDescent="0.2">
      <c r="G49" s="1" t="s">
        <v>2</v>
      </c>
      <c r="H49" s="11">
        <f ca="1">-(IF(H48&lt;=1,$Y$55/$Y$6,0))</f>
        <v>-7111645.231155226</v>
      </c>
      <c r="I49" s="11">
        <f t="shared" ref="I49:V49" ca="1" si="34">-(IF(I48&lt;=1,$Y$55/$Y$6,0))</f>
        <v>-7111645.231155226</v>
      </c>
      <c r="J49" s="11">
        <f t="shared" si="34"/>
        <v>0</v>
      </c>
      <c r="K49" s="11">
        <f t="shared" si="34"/>
        <v>0</v>
      </c>
      <c r="L49" s="11">
        <f t="shared" si="34"/>
        <v>0</v>
      </c>
      <c r="M49" s="11">
        <f t="shared" si="34"/>
        <v>0</v>
      </c>
      <c r="N49" s="11">
        <f t="shared" si="34"/>
        <v>0</v>
      </c>
      <c r="O49" s="11">
        <f t="shared" si="34"/>
        <v>0</v>
      </c>
      <c r="P49" s="11">
        <f t="shared" si="34"/>
        <v>0</v>
      </c>
      <c r="Q49" s="11">
        <f t="shared" si="34"/>
        <v>0</v>
      </c>
      <c r="R49" s="11">
        <f t="shared" si="34"/>
        <v>0</v>
      </c>
      <c r="S49" s="11">
        <f t="shared" si="34"/>
        <v>0</v>
      </c>
      <c r="T49" s="11">
        <f t="shared" si="34"/>
        <v>0</v>
      </c>
      <c r="U49" s="11">
        <f t="shared" si="34"/>
        <v>0</v>
      </c>
      <c r="V49" s="11">
        <f t="shared" si="34"/>
        <v>0</v>
      </c>
    </row>
    <row r="50" spans="7:25" x14ac:dyDescent="0.2">
      <c r="G50" s="1" t="s">
        <v>26</v>
      </c>
      <c r="H50" s="25">
        <v>0</v>
      </c>
      <c r="I50" s="25">
        <v>0</v>
      </c>
      <c r="J50" s="24">
        <f ca="1">Y55+J58</f>
        <v>13454059.693079682</v>
      </c>
      <c r="K50" s="24">
        <f ca="1">J50+K58</f>
        <v>12684828.923848912</v>
      </c>
      <c r="L50" s="24">
        <f ca="1">K50+L58</f>
        <v>11915598.154618142</v>
      </c>
      <c r="M50" s="24">
        <f t="shared" ref="M50" ca="1" si="35">L50+M58</f>
        <v>11146367.385387372</v>
      </c>
      <c r="N50" s="24">
        <f t="shared" ref="N50" ca="1" si="36">M50+N58</f>
        <v>10377136.616156602</v>
      </c>
      <c r="O50" s="24">
        <f t="shared" ref="O50" ca="1" si="37">N50+O58</f>
        <v>9607905.8469258323</v>
      </c>
      <c r="P50" s="24">
        <f t="shared" ref="P50" ca="1" si="38">O50+P58</f>
        <v>8838675.0776950624</v>
      </c>
      <c r="Q50" s="24">
        <f t="shared" ref="Q50" ca="1" si="39">P50+Q58</f>
        <v>8069444.3084642934</v>
      </c>
      <c r="R50" s="24">
        <f t="shared" ref="R50" ca="1" si="40">Q50+R58</f>
        <v>7300213.5392335244</v>
      </c>
      <c r="S50" s="24">
        <f t="shared" ref="S50" ca="1" si="41">R50+S58</f>
        <v>6530982.7700027553</v>
      </c>
      <c r="T50" s="24">
        <f t="shared" ref="T50" ca="1" si="42">S50+T58</f>
        <v>5761752.0007719863</v>
      </c>
      <c r="U50" s="26">
        <f t="shared" ref="U50" ca="1" si="43">T50+U58</f>
        <v>4992521.2315412173</v>
      </c>
      <c r="V50" s="24">
        <f ca="1">U50+V58</f>
        <v>4223290.4623104483</v>
      </c>
    </row>
    <row r="51" spans="7:25" x14ac:dyDescent="0.2">
      <c r="V51" s="4"/>
    </row>
    <row r="52" spans="7:25" ht="16" x14ac:dyDescent="0.2">
      <c r="G52" s="3" t="s">
        <v>11</v>
      </c>
      <c r="V52" s="4"/>
    </row>
    <row r="53" spans="7:25" x14ac:dyDescent="0.2">
      <c r="G53" s="1" t="s">
        <v>25</v>
      </c>
      <c r="H53" s="14">
        <f>IF(H48&lt;=1,0,IF(H48&lt;=4,$Y$10*$Y$56,IF(H48&lt;14,$Y$57*$Y$56,0)))</f>
        <v>0</v>
      </c>
      <c r="I53" s="14">
        <f t="shared" ref="I53:V53" si="44">IF(I48&lt;=1,0,IF(I48&lt;=4,$Y$10*$Y$56,IF(I48&lt;14,$Y$57*$Y$56,0)))</f>
        <v>0</v>
      </c>
      <c r="J53" s="14">
        <f t="shared" ca="1" si="44"/>
        <v>1632670.8738553482</v>
      </c>
      <c r="K53" s="14">
        <f t="shared" ca="1" si="44"/>
        <v>1632670.8738553482</v>
      </c>
      <c r="L53" s="14">
        <f t="shared" ca="1" si="44"/>
        <v>1632670.8738553482</v>
      </c>
      <c r="M53" s="14">
        <f t="shared" ca="1" si="44"/>
        <v>1363066.7581902805</v>
      </c>
      <c r="N53" s="14">
        <f t="shared" ca="1" si="44"/>
        <v>1363066.7581902805</v>
      </c>
      <c r="O53" s="14">
        <f t="shared" ca="1" si="44"/>
        <v>1363066.7581902805</v>
      </c>
      <c r="P53" s="14">
        <f t="shared" ca="1" si="44"/>
        <v>1363066.7581902805</v>
      </c>
      <c r="Q53" s="14">
        <f t="shared" ca="1" si="44"/>
        <v>1363066.7581902805</v>
      </c>
      <c r="R53" s="14">
        <f t="shared" ca="1" si="44"/>
        <v>1363066.7581902805</v>
      </c>
      <c r="S53" s="14">
        <f t="shared" ca="1" si="44"/>
        <v>1363066.7581902805</v>
      </c>
      <c r="T53" s="14">
        <f t="shared" ca="1" si="44"/>
        <v>1363066.7581902805</v>
      </c>
      <c r="U53" s="14">
        <f t="shared" ca="1" si="44"/>
        <v>1363066.7581902805</v>
      </c>
      <c r="V53" s="14">
        <f t="shared" si="44"/>
        <v>0</v>
      </c>
    </row>
    <row r="54" spans="7:25" x14ac:dyDescent="0.2">
      <c r="G54" s="1" t="s">
        <v>11</v>
      </c>
      <c r="H54">
        <f>-IF(H48&lt;=1,0,IF(H48&lt;=4,$Y$10*$Y$13,IF(H48&lt;14,$Y$57*$Y$13,0)))</f>
        <v>0</v>
      </c>
      <c r="I54">
        <f t="shared" ref="I54:V54" si="45">-IF(I48&lt;=1,0,IF(I48&lt;=4,$Y$10*$Y$13,IF(I48&lt;14,$Y$57*$Y$13,0)))</f>
        <v>0</v>
      </c>
      <c r="J54">
        <f t="shared" si="45"/>
        <v>-500000</v>
      </c>
      <c r="K54">
        <f t="shared" si="45"/>
        <v>-500000</v>
      </c>
      <c r="L54">
        <f t="shared" si="45"/>
        <v>-500000</v>
      </c>
      <c r="M54">
        <f t="shared" ca="1" si="45"/>
        <v>-417434.64038516494</v>
      </c>
      <c r="N54">
        <f t="shared" ca="1" si="45"/>
        <v>-417434.64038516494</v>
      </c>
      <c r="O54">
        <f t="shared" ca="1" si="45"/>
        <v>-417434.64038516494</v>
      </c>
      <c r="P54">
        <f t="shared" ca="1" si="45"/>
        <v>-417434.64038516494</v>
      </c>
      <c r="Q54">
        <f t="shared" ca="1" si="45"/>
        <v>-417434.64038516494</v>
      </c>
      <c r="R54">
        <f t="shared" ca="1" si="45"/>
        <v>-417434.64038516494</v>
      </c>
      <c r="S54">
        <f t="shared" ca="1" si="45"/>
        <v>-417434.64038516494</v>
      </c>
      <c r="T54">
        <f t="shared" ca="1" si="45"/>
        <v>-417434.64038516494</v>
      </c>
      <c r="U54">
        <f t="shared" ca="1" si="45"/>
        <v>-417434.64038516494</v>
      </c>
      <c r="V54">
        <f t="shared" si="45"/>
        <v>0</v>
      </c>
    </row>
    <row r="55" spans="7:25" x14ac:dyDescent="0.2">
      <c r="G55" s="1"/>
      <c r="J55" s="7"/>
      <c r="K55" s="7"/>
      <c r="L55" s="7"/>
      <c r="M55" s="7"/>
      <c r="N55" s="7"/>
      <c r="O55" s="7"/>
      <c r="P55" s="7"/>
      <c r="Q55" s="7"/>
      <c r="R55" s="7"/>
      <c r="S55" s="7"/>
      <c r="T55" s="7"/>
      <c r="U55" s="7"/>
      <c r="V55" s="4"/>
      <c r="X55" t="s">
        <v>1</v>
      </c>
      <c r="Y55" s="45">
        <f ca="1">MC_sim!E5</f>
        <v>14223290.462310452</v>
      </c>
    </row>
    <row r="56" spans="7:25" x14ac:dyDescent="0.2">
      <c r="G56" s="16" t="s">
        <v>13</v>
      </c>
      <c r="H56" s="17">
        <f t="shared" ref="H56:U56" si="46">SUM(H53:H54)</f>
        <v>0</v>
      </c>
      <c r="I56" s="17">
        <f t="shared" si="46"/>
        <v>0</v>
      </c>
      <c r="J56" s="18">
        <f t="shared" ca="1" si="46"/>
        <v>1132670.8738553482</v>
      </c>
      <c r="K56" s="18">
        <f t="shared" ca="1" si="46"/>
        <v>1132670.8738553482</v>
      </c>
      <c r="L56" s="18">
        <f t="shared" ca="1" si="46"/>
        <v>1132670.8738553482</v>
      </c>
      <c r="M56" s="18">
        <f t="shared" ca="1" si="46"/>
        <v>945632.11780511565</v>
      </c>
      <c r="N56" s="18">
        <f t="shared" ca="1" si="46"/>
        <v>945632.11780511565</v>
      </c>
      <c r="O56" s="18">
        <f t="shared" ca="1" si="46"/>
        <v>945632.11780511565</v>
      </c>
      <c r="P56" s="18">
        <f t="shared" ca="1" si="46"/>
        <v>945632.11780511565</v>
      </c>
      <c r="Q56" s="18">
        <f t="shared" ca="1" si="46"/>
        <v>945632.11780511565</v>
      </c>
      <c r="R56" s="18">
        <f t="shared" ca="1" si="46"/>
        <v>945632.11780511565</v>
      </c>
      <c r="S56" s="18">
        <f t="shared" ca="1" si="46"/>
        <v>945632.11780511565</v>
      </c>
      <c r="T56" s="18">
        <f t="shared" ca="1" si="46"/>
        <v>945632.11780511565</v>
      </c>
      <c r="U56" s="18">
        <f t="shared" ca="1" si="46"/>
        <v>945632.11780511565</v>
      </c>
      <c r="V56" s="27">
        <f>SUM(V53:V54)</f>
        <v>0</v>
      </c>
      <c r="X56" t="s">
        <v>40</v>
      </c>
      <c r="Y56" s="46">
        <f ca="1">MC_sim!E6</f>
        <v>1.6326708738553481</v>
      </c>
    </row>
    <row r="57" spans="7:25" x14ac:dyDescent="0.2">
      <c r="V57" s="4"/>
      <c r="X57" t="s">
        <v>41</v>
      </c>
      <c r="Y57" s="43">
        <f ca="1">MC_sim!E7</f>
        <v>834869.28077032987</v>
      </c>
    </row>
    <row r="58" spans="7:25" x14ac:dyDescent="0.2">
      <c r="G58" s="22" t="s">
        <v>14</v>
      </c>
      <c r="H58">
        <f t="shared" ref="H58:V58" si="47">-IF(H48&gt;=2,$Y$19,0)</f>
        <v>0</v>
      </c>
      <c r="I58">
        <f t="shared" si="47"/>
        <v>0</v>
      </c>
      <c r="J58" s="6">
        <f t="shared" si="47"/>
        <v>-769230.76923076925</v>
      </c>
      <c r="K58" s="6">
        <f t="shared" si="47"/>
        <v>-769230.76923076925</v>
      </c>
      <c r="L58" s="6">
        <f t="shared" si="47"/>
        <v>-769230.76923076925</v>
      </c>
      <c r="M58" s="6">
        <f t="shared" si="47"/>
        <v>-769230.76923076925</v>
      </c>
      <c r="N58" s="6">
        <f t="shared" si="47"/>
        <v>-769230.76923076925</v>
      </c>
      <c r="O58" s="6">
        <f t="shared" si="47"/>
        <v>-769230.76923076925</v>
      </c>
      <c r="P58" s="6">
        <f t="shared" si="47"/>
        <v>-769230.76923076925</v>
      </c>
      <c r="Q58" s="6">
        <f t="shared" si="47"/>
        <v>-769230.76923076925</v>
      </c>
      <c r="R58" s="6">
        <f t="shared" si="47"/>
        <v>-769230.76923076925</v>
      </c>
      <c r="S58" s="6">
        <f t="shared" si="47"/>
        <v>-769230.76923076925</v>
      </c>
      <c r="T58" s="6">
        <f t="shared" si="47"/>
        <v>-769230.76923076925</v>
      </c>
      <c r="U58" s="6">
        <f t="shared" si="47"/>
        <v>-769230.76923076925</v>
      </c>
      <c r="V58" s="6">
        <f t="shared" si="47"/>
        <v>-769230.76923076925</v>
      </c>
      <c r="X58" t="s">
        <v>5</v>
      </c>
      <c r="Y58" s="47">
        <f ca="1">MC_sim!E8</f>
        <v>3.0896331579746507E-2</v>
      </c>
    </row>
    <row r="59" spans="7:25" x14ac:dyDescent="0.2">
      <c r="G59" s="1"/>
      <c r="J59" s="6"/>
      <c r="K59" s="6"/>
      <c r="L59" s="6"/>
      <c r="M59" s="6"/>
      <c r="N59" s="6"/>
      <c r="O59" s="6"/>
      <c r="P59" s="6"/>
      <c r="Q59" s="6"/>
      <c r="R59" s="6"/>
      <c r="S59" s="6"/>
      <c r="T59" s="6"/>
      <c r="U59" s="6"/>
      <c r="V59" s="4"/>
      <c r="X59" t="s">
        <v>42</v>
      </c>
      <c r="Y59" s="48">
        <f ca="1">MC_sim!E9</f>
        <v>0.15923327248153349</v>
      </c>
    </row>
    <row r="60" spans="7:25" x14ac:dyDescent="0.2">
      <c r="G60" s="16" t="s">
        <v>16</v>
      </c>
      <c r="H60" s="17">
        <f>SUM(H56,H58)</f>
        <v>0</v>
      </c>
      <c r="I60" s="17">
        <f t="shared" ref="I60:V60" si="48">SUM(I56,I58)</f>
        <v>0</v>
      </c>
      <c r="J60" s="21">
        <f t="shared" ca="1" si="48"/>
        <v>363440.10462457896</v>
      </c>
      <c r="K60" s="21">
        <f t="shared" ca="1" si="48"/>
        <v>363440.10462457896</v>
      </c>
      <c r="L60" s="21">
        <f t="shared" ca="1" si="48"/>
        <v>363440.10462457896</v>
      </c>
      <c r="M60" s="21">
        <f t="shared" ca="1" si="48"/>
        <v>176401.3485743464</v>
      </c>
      <c r="N60" s="21">
        <f t="shared" ca="1" si="48"/>
        <v>176401.3485743464</v>
      </c>
      <c r="O60" s="21">
        <f t="shared" ca="1" si="48"/>
        <v>176401.3485743464</v>
      </c>
      <c r="P60" s="21">
        <f t="shared" ca="1" si="48"/>
        <v>176401.3485743464</v>
      </c>
      <c r="Q60" s="21">
        <f t="shared" ca="1" si="48"/>
        <v>176401.3485743464</v>
      </c>
      <c r="R60" s="21">
        <f t="shared" ca="1" si="48"/>
        <v>176401.3485743464</v>
      </c>
      <c r="S60" s="21">
        <f t="shared" ca="1" si="48"/>
        <v>176401.3485743464</v>
      </c>
      <c r="T60" s="21">
        <f t="shared" ca="1" si="48"/>
        <v>176401.3485743464</v>
      </c>
      <c r="U60" s="21">
        <f t="shared" ca="1" si="48"/>
        <v>176401.3485743464</v>
      </c>
      <c r="V60" s="21">
        <f t="shared" si="48"/>
        <v>-769230.76923076925</v>
      </c>
      <c r="X60" t="s">
        <v>28</v>
      </c>
      <c r="Y60" s="33">
        <f ca="1">(1+Y59)/(1+Y58)-1</f>
        <v>0.12449063690538442</v>
      </c>
    </row>
    <row r="61" spans="7:25" x14ac:dyDescent="0.2">
      <c r="G61" s="8"/>
      <c r="J61" s="6"/>
      <c r="K61" s="6"/>
      <c r="L61" s="6"/>
      <c r="M61" s="6"/>
      <c r="N61" s="6"/>
      <c r="O61" s="6"/>
      <c r="P61" s="6"/>
      <c r="Q61" s="6"/>
      <c r="R61" s="6"/>
      <c r="S61" s="6"/>
      <c r="T61" s="6"/>
      <c r="U61" s="6"/>
      <c r="V61" s="4"/>
    </row>
    <row r="62" spans="7:25" x14ac:dyDescent="0.2">
      <c r="G62" s="1" t="s">
        <v>17</v>
      </c>
      <c r="H62">
        <f t="shared" ref="H62:U62" si="49">-($Y$15*H60)</f>
        <v>0</v>
      </c>
      <c r="I62">
        <f t="shared" si="49"/>
        <v>0</v>
      </c>
      <c r="J62" s="6">
        <f ca="1">-($Y$15*J60)</f>
        <v>-72688.020924915792</v>
      </c>
      <c r="K62" s="6">
        <f t="shared" ca="1" si="49"/>
        <v>-72688.020924915792</v>
      </c>
      <c r="L62" s="6">
        <f t="shared" ca="1" si="49"/>
        <v>-72688.020924915792</v>
      </c>
      <c r="M62" s="6">
        <f t="shared" ca="1" si="49"/>
        <v>-35280.269714869282</v>
      </c>
      <c r="N62" s="6">
        <f t="shared" ca="1" si="49"/>
        <v>-35280.269714869282</v>
      </c>
      <c r="O62" s="6">
        <f t="shared" ca="1" si="49"/>
        <v>-35280.269714869282</v>
      </c>
      <c r="P62" s="6">
        <f t="shared" ca="1" si="49"/>
        <v>-35280.269714869282</v>
      </c>
      <c r="Q62" s="6">
        <f t="shared" ca="1" si="49"/>
        <v>-35280.269714869282</v>
      </c>
      <c r="R62" s="6">
        <f t="shared" ca="1" si="49"/>
        <v>-35280.269714869282</v>
      </c>
      <c r="S62" s="6">
        <f t="shared" ca="1" si="49"/>
        <v>-35280.269714869282</v>
      </c>
      <c r="T62" s="6">
        <f t="shared" ca="1" si="49"/>
        <v>-35280.269714869282</v>
      </c>
      <c r="U62" s="6">
        <f t="shared" ca="1" si="49"/>
        <v>-35280.269714869282</v>
      </c>
      <c r="V62" s="6"/>
    </row>
    <row r="63" spans="7:25" x14ac:dyDescent="0.2">
      <c r="G63" s="1" t="s">
        <v>18</v>
      </c>
      <c r="H63">
        <f t="shared" ref="H63:V63" si="50">SUM(H60:H62)</f>
        <v>0</v>
      </c>
      <c r="I63">
        <f t="shared" si="50"/>
        <v>0</v>
      </c>
      <c r="J63" s="6">
        <f t="shared" ca="1" si="50"/>
        <v>290752.08369966317</v>
      </c>
      <c r="K63" s="6">
        <f t="shared" ca="1" si="50"/>
        <v>290752.08369966317</v>
      </c>
      <c r="L63" s="6">
        <f t="shared" ca="1" si="50"/>
        <v>290752.08369966317</v>
      </c>
      <c r="M63" s="6">
        <f t="shared" ca="1" si="50"/>
        <v>141121.07885947713</v>
      </c>
      <c r="N63" s="6">
        <f t="shared" ca="1" si="50"/>
        <v>141121.07885947713</v>
      </c>
      <c r="O63" s="6">
        <f t="shared" ca="1" si="50"/>
        <v>141121.07885947713</v>
      </c>
      <c r="P63" s="6">
        <f t="shared" ca="1" si="50"/>
        <v>141121.07885947713</v>
      </c>
      <c r="Q63" s="6">
        <f t="shared" ca="1" si="50"/>
        <v>141121.07885947713</v>
      </c>
      <c r="R63" s="6">
        <f t="shared" ca="1" si="50"/>
        <v>141121.07885947713</v>
      </c>
      <c r="S63" s="6">
        <f t="shared" ca="1" si="50"/>
        <v>141121.07885947713</v>
      </c>
      <c r="T63" s="6">
        <f t="shared" ca="1" si="50"/>
        <v>141121.07885947713</v>
      </c>
      <c r="U63" s="6">
        <f t="shared" ca="1" si="50"/>
        <v>141121.07885947713</v>
      </c>
      <c r="V63" s="6">
        <f t="shared" si="50"/>
        <v>-769230.76923076925</v>
      </c>
    </row>
    <row r="64" spans="7:25" x14ac:dyDescent="0.2">
      <c r="G64" s="1" t="s">
        <v>9</v>
      </c>
      <c r="H64">
        <f t="shared" ref="H64:V64" si="51">IF(H48&lt;2,0,IF(H48&lt;=6,-$Y$16,IF(H48&lt;=8,0,IF(H48&lt;=13,$Y$17,0))))</f>
        <v>0</v>
      </c>
      <c r="I64">
        <f t="shared" si="51"/>
        <v>0</v>
      </c>
      <c r="J64">
        <f t="shared" si="51"/>
        <v>-50000</v>
      </c>
      <c r="K64">
        <f t="shared" si="51"/>
        <v>-50000</v>
      </c>
      <c r="L64">
        <f t="shared" si="51"/>
        <v>-50000</v>
      </c>
      <c r="M64">
        <f t="shared" si="51"/>
        <v>-50000</v>
      </c>
      <c r="N64">
        <f t="shared" si="51"/>
        <v>-50000</v>
      </c>
      <c r="O64">
        <f t="shared" si="51"/>
        <v>0</v>
      </c>
      <c r="P64">
        <f t="shared" si="51"/>
        <v>0</v>
      </c>
      <c r="Q64">
        <f t="shared" si="51"/>
        <v>50000</v>
      </c>
      <c r="R64">
        <f t="shared" si="51"/>
        <v>50000</v>
      </c>
      <c r="S64">
        <f t="shared" si="51"/>
        <v>50000</v>
      </c>
      <c r="T64">
        <f t="shared" si="51"/>
        <v>50000</v>
      </c>
      <c r="U64">
        <f t="shared" si="51"/>
        <v>50000</v>
      </c>
      <c r="V64">
        <f t="shared" si="51"/>
        <v>0</v>
      </c>
    </row>
    <row r="65" spans="7:22" x14ac:dyDescent="0.2">
      <c r="V65" s="4"/>
    </row>
    <row r="66" spans="7:22" x14ac:dyDescent="0.2">
      <c r="G66" s="19" t="s">
        <v>34</v>
      </c>
      <c r="H66" s="31">
        <f ca="1">H49+H56+H62+H64</f>
        <v>-7111645.231155226</v>
      </c>
      <c r="I66" s="31">
        <f t="shared" ref="I66:T66" ca="1" si="52">I49+I56+I62+I64</f>
        <v>-7111645.231155226</v>
      </c>
      <c r="J66" s="23">
        <f t="shared" ca="1" si="52"/>
        <v>1009982.8529304324</v>
      </c>
      <c r="K66" s="23">
        <f t="shared" ca="1" si="52"/>
        <v>1009982.8529304324</v>
      </c>
      <c r="L66" s="23">
        <f t="shared" ca="1" si="52"/>
        <v>1009982.8529304324</v>
      </c>
      <c r="M66" s="23">
        <f t="shared" ca="1" si="52"/>
        <v>860351.84809024632</v>
      </c>
      <c r="N66" s="23">
        <f t="shared" ca="1" si="52"/>
        <v>860351.84809024632</v>
      </c>
      <c r="O66" s="23">
        <f t="shared" ca="1" si="52"/>
        <v>910351.84809024632</v>
      </c>
      <c r="P66" s="23">
        <f t="shared" ca="1" si="52"/>
        <v>910351.84809024632</v>
      </c>
      <c r="Q66" s="23">
        <f t="shared" ca="1" si="52"/>
        <v>960351.84809024632</v>
      </c>
      <c r="R66" s="23">
        <f t="shared" ca="1" si="52"/>
        <v>960351.84809024632</v>
      </c>
      <c r="S66" s="23">
        <f t="shared" ca="1" si="52"/>
        <v>960351.84809024632</v>
      </c>
      <c r="T66" s="23">
        <f t="shared" ca="1" si="52"/>
        <v>960351.84809024632</v>
      </c>
      <c r="U66" s="23">
        <f ca="1">U49+U56+U62+U64+U50</f>
        <v>5952873.0796314636</v>
      </c>
      <c r="V66" s="23">
        <f>V49+V56+V62+V64</f>
        <v>0</v>
      </c>
    </row>
    <row r="67" spans="7:22" x14ac:dyDescent="0.2">
      <c r="G67" s="8" t="s">
        <v>35</v>
      </c>
      <c r="H67" s="32">
        <f ca="1">SUM($H$66:H66)</f>
        <v>-7111645.231155226</v>
      </c>
      <c r="I67" s="32">
        <f ca="1">SUM($H$66:I66)</f>
        <v>-14223290.462310452</v>
      </c>
      <c r="J67" s="32">
        <f ca="1">SUM($H$66:J66)</f>
        <v>-13213307.60938002</v>
      </c>
      <c r="K67" s="32">
        <f ca="1">SUM($H$66:K66)</f>
        <v>-12203324.756449588</v>
      </c>
      <c r="L67" s="32">
        <f ca="1">SUM($H$66:L66)</f>
        <v>-11193341.903519155</v>
      </c>
      <c r="M67" s="32">
        <f ca="1">SUM($H$66:M66)</f>
        <v>-10332990.055428909</v>
      </c>
      <c r="N67" s="32">
        <f ca="1">SUM($H$66:N66)</f>
        <v>-9472638.2073386628</v>
      </c>
      <c r="O67" s="32">
        <f ca="1">SUM($H$66:O66)</f>
        <v>-8562286.3592484165</v>
      </c>
      <c r="P67" s="32">
        <f ca="1">SUM($H$66:P66)</f>
        <v>-7651934.5111581702</v>
      </c>
      <c r="Q67" s="32">
        <f ca="1">SUM($H$66:Q66)</f>
        <v>-6691582.6630679239</v>
      </c>
      <c r="R67" s="32">
        <f ca="1">SUM($H$66:R66)</f>
        <v>-5731230.8149776775</v>
      </c>
      <c r="S67" s="32">
        <f ca="1">SUM($H$66:S66)</f>
        <v>-4770878.9668874312</v>
      </c>
      <c r="T67" s="32">
        <f ca="1">SUM($H$66:T66)</f>
        <v>-3810527.1187971849</v>
      </c>
      <c r="U67" s="32">
        <f ca="1">SUM($H$66:U66)</f>
        <v>2142345.9608342787</v>
      </c>
      <c r="V67" s="32">
        <f ca="1">SUM($H$66:V66)</f>
        <v>2142345.9608342787</v>
      </c>
    </row>
    <row r="68" spans="7:22" x14ac:dyDescent="0.2">
      <c r="G68" s="8" t="s">
        <v>19</v>
      </c>
      <c r="H68" s="32">
        <f ca="1">H66/((1+$Y$60)^H$5)</f>
        <v>-7111645.231155226</v>
      </c>
      <c r="I68" s="32">
        <f t="shared" ref="I68:V68" ca="1" si="53">I66/((1+$Y$60)^I$5)</f>
        <v>-6324325.8749815682</v>
      </c>
      <c r="J68" s="32">
        <f t="shared" ca="1" si="53"/>
        <v>798734.26065895136</v>
      </c>
      <c r="K68" s="32">
        <f t="shared" ca="1" si="53"/>
        <v>710307.61346050911</v>
      </c>
      <c r="L68" s="32">
        <f t="shared" ca="1" si="53"/>
        <v>631670.54499918874</v>
      </c>
      <c r="M68" s="32">
        <f t="shared" ca="1" si="53"/>
        <v>478516.45624058245</v>
      </c>
      <c r="N68" s="32">
        <f t="shared" ca="1" si="53"/>
        <v>425540.63194111345</v>
      </c>
      <c r="O68" s="32">
        <f t="shared" ca="1" si="53"/>
        <v>400422.40784236783</v>
      </c>
      <c r="P68" s="32">
        <f t="shared" ca="1" si="53"/>
        <v>356092.25608524086</v>
      </c>
      <c r="Q68" s="32">
        <f t="shared" ca="1" si="53"/>
        <v>334062.54380951572</v>
      </c>
      <c r="R68" s="32">
        <f t="shared" ca="1" si="53"/>
        <v>297078.99100775173</v>
      </c>
      <c r="S68" s="32">
        <f t="shared" ca="1" si="53"/>
        <v>264189.83071777079</v>
      </c>
      <c r="T68" s="32">
        <f t="shared" ca="1" si="53"/>
        <v>234941.77901278509</v>
      </c>
      <c r="U68" s="32">
        <f t="shared" ca="1" si="53"/>
        <v>1295092.1053366128</v>
      </c>
      <c r="V68" s="32">
        <f t="shared" ca="1" si="53"/>
        <v>0</v>
      </c>
    </row>
    <row r="69" spans="7:22" x14ac:dyDescent="0.2">
      <c r="G69" s="20" t="s">
        <v>27</v>
      </c>
      <c r="H69" s="34">
        <f ca="1">SUM($H$68:H68)</f>
        <v>-7111645.231155226</v>
      </c>
      <c r="I69" s="34">
        <f ca="1">SUM($H$68:I68)</f>
        <v>-13435971.106136795</v>
      </c>
      <c r="J69" s="34">
        <f ca="1">SUM($H$68:J68)</f>
        <v>-12637236.845477844</v>
      </c>
      <c r="K69" s="34">
        <f ca="1">SUM($H$68:K68)</f>
        <v>-11926929.232017335</v>
      </c>
      <c r="L69" s="34">
        <f ca="1">SUM($H$68:L68)</f>
        <v>-11295258.687018145</v>
      </c>
      <c r="M69" s="34">
        <f ca="1">SUM($H$68:M68)</f>
        <v>-10816742.230777562</v>
      </c>
      <c r="N69" s="34">
        <f ca="1">SUM($H$68:N68)</f>
        <v>-10391201.598836448</v>
      </c>
      <c r="O69" s="34">
        <f ca="1">SUM($H$68:O68)</f>
        <v>-9990779.1909940802</v>
      </c>
      <c r="P69" s="34">
        <f ca="1">SUM($H$68:P68)</f>
        <v>-9634686.9349088389</v>
      </c>
      <c r="Q69" s="34">
        <f ca="1">SUM($H$68:Q68)</f>
        <v>-9300624.3910993226</v>
      </c>
      <c r="R69" s="34">
        <f ca="1">SUM($H$68:R68)</f>
        <v>-9003545.4000915717</v>
      </c>
      <c r="S69" s="34">
        <f ca="1">SUM($H$68:S68)</f>
        <v>-8739355.5693738014</v>
      </c>
      <c r="T69" s="34">
        <f ca="1">SUM($H$68:T68)</f>
        <v>-8504413.790361017</v>
      </c>
      <c r="U69" s="34">
        <f ca="1">SUM($H$68:U68)</f>
        <v>-7209321.685024404</v>
      </c>
      <c r="V69" s="34">
        <f ca="1">SUM($H$68:V68)</f>
        <v>-7209321.685024404</v>
      </c>
    </row>
    <row r="71" spans="7:22" x14ac:dyDescent="0.2">
      <c r="G71" s="40" t="s">
        <v>29</v>
      </c>
      <c r="H71" s="41">
        <f ca="1">NPV($Y$7,I66:U66)+H66</f>
        <v>-3804608.2341561546</v>
      </c>
    </row>
    <row r="72" spans="7:22" x14ac:dyDescent="0.2">
      <c r="G72" s="8" t="s">
        <v>33</v>
      </c>
      <c r="H72" s="39">
        <f ca="1">IRR(H66:U66)</f>
        <v>1.6566731330816431E-2</v>
      </c>
    </row>
    <row r="73" spans="7:22" x14ac:dyDescent="0.2">
      <c r="G73" s="8" t="s">
        <v>30</v>
      </c>
      <c r="H73" s="36">
        <f ca="1">H71/Y55 +1</f>
        <v>0.73250857498566979</v>
      </c>
    </row>
    <row r="74" spans="7:22" x14ac:dyDescent="0.2">
      <c r="G74" s="8" t="s">
        <v>32</v>
      </c>
      <c r="H74" s="35" cm="1">
        <f t="array" aca="1" ref="H74" ca="1">INDEX(H48:U48, MATCH(TRUE, H67:U67 &gt;= 0, 0))  + ABS(INDEX(H67:U67, MATCH(TRUE, H67:U67 &gt;= 0, 0)-1) / INDEX(H66:U66, MATCH(TRUE, H67:U67 &gt;= 0, 0)))</f>
        <v>13.640115632875728</v>
      </c>
      <c r="I74" s="90" t="s">
        <v>36</v>
      </c>
      <c r="J74" s="90"/>
      <c r="K74" s="90"/>
      <c r="L74" s="90"/>
      <c r="M74" s="90"/>
    </row>
    <row r="75" spans="7:22" x14ac:dyDescent="0.2">
      <c r="G75" s="8" t="s">
        <v>31</v>
      </c>
      <c r="H75" s="35" t="e" cm="1">
        <f t="array" aca="1" ref="H75" ca="1">INDEX(H48:U48, MATCH(TRUE, H69:U69 &gt;= 0, 0))  + ABS(INDEX(H69:U69, MATCH(TRUE, H69:U69 &gt;= 0, 0)-1) / INDEX(H68:U68, MATCH(TRUE, H69:U69 &gt;= 0, 0)))</f>
        <v>#N/A</v>
      </c>
      <c r="I75" s="90" t="s">
        <v>37</v>
      </c>
      <c r="J75" s="90"/>
      <c r="K75" s="90"/>
      <c r="L75" s="90"/>
      <c r="M75" s="90"/>
    </row>
  </sheetData>
  <scenarios current="1" show="1" sqref="H28:H32">
    <scenario name="Pessimistic" locked="1" count="3" user="Tatiana" comment="Created by Tatiana on 2025-03-23_x000a_Modified by Tatiana on 2025-03-23">
      <inputCells r="Y15" val="0.25" numFmtId="9"/>
      <inputCells r="Y13" val="1" numFmtId="165"/>
      <inputCells r="Y9" val="0.08" numFmtId="9"/>
    </scenario>
    <scenario name="Realistic" locked="1" count="3" user="Tatiana" comment="Created by Tatiana on 2025-03-23_x000a_Modified by Tatiana on 2025-03-23">
      <inputCells r="Y15" val="0.2" numFmtId="9"/>
      <inputCells r="Y13" val="0.5" numFmtId="165"/>
      <inputCells r="Y9" val="0.04" numFmtId="9"/>
    </scenario>
    <scenario name="Optimistic" locked="1" count="3" user="Tatiana" comment="Created by Tatiana on 2025-03-23_x000a_Modified by Tatiana on 2025-03-23">
      <inputCells r="Y15" val="0.15" numFmtId="9"/>
      <inputCells r="Y13" val="0.25" numFmtId="165"/>
      <inputCells r="Y9" val="-0.02" numFmtId="9"/>
    </scenario>
  </scenarios>
  <mergeCells count="9">
    <mergeCell ref="H1:S2"/>
    <mergeCell ref="I31:M31"/>
    <mergeCell ref="I32:M32"/>
    <mergeCell ref="X26:Z26"/>
    <mergeCell ref="X35:Z35"/>
    <mergeCell ref="X42:Z42"/>
    <mergeCell ref="I74:M74"/>
    <mergeCell ref="I75:M75"/>
    <mergeCell ref="I42:L42"/>
  </mergeCells>
  <conditionalFormatting sqref="H15">
    <cfRule type="cellIs" priority="12" operator="lessThanOrEqual">
      <formula>0</formula>
    </cfRule>
    <cfRule type="cellIs" dxfId="7" priority="13" operator="lessThan">
      <formula>0</formula>
    </cfRule>
    <cfRule type="cellIs" dxfId="6" priority="16" operator="greaterThan">
      <formula>0</formula>
    </cfRule>
  </conditionalFormatting>
  <conditionalFormatting sqref="J15">
    <cfRule type="cellIs" priority="14" operator="lessThanOrEqual">
      <formula>0</formula>
    </cfRule>
  </conditionalFormatting>
  <conditionalFormatting sqref="H26:U26">
    <cfRule type="cellIs" dxfId="5" priority="10" operator="lessThan">
      <formula>0</formula>
    </cfRule>
  </conditionalFormatting>
  <conditionalFormatting sqref="Q26:U26">
    <cfRule type="cellIs" dxfId="4" priority="9" operator="greaterThan">
      <formula>0</formula>
    </cfRule>
  </conditionalFormatting>
  <conditionalFormatting sqref="H24:U24">
    <cfRule type="colorScale" priority="8">
      <colorScale>
        <cfvo type="min"/>
        <cfvo type="percentile" val="50"/>
        <cfvo type="max"/>
        <color rgb="FFF8696B"/>
        <color rgb="FFFCFCFF"/>
        <color rgb="FF63BE7B"/>
      </colorScale>
    </cfRule>
  </conditionalFormatting>
  <conditionalFormatting sqref="H58">
    <cfRule type="cellIs" priority="4" operator="lessThanOrEqual">
      <formula>0</formula>
    </cfRule>
    <cfRule type="cellIs" dxfId="3" priority="5" operator="lessThan">
      <formula>0</formula>
    </cfRule>
    <cfRule type="cellIs" dxfId="2" priority="7" operator="greaterThan">
      <formula>0</formula>
    </cfRule>
  </conditionalFormatting>
  <conditionalFormatting sqref="J58">
    <cfRule type="cellIs" priority="6" operator="lessThanOrEqual">
      <formula>0</formula>
    </cfRule>
  </conditionalFormatting>
  <conditionalFormatting sqref="H69:V69">
    <cfRule type="cellIs" dxfId="1" priority="3" operator="lessThan">
      <formula>0</formula>
    </cfRule>
  </conditionalFormatting>
  <conditionalFormatting sqref="H67:V67">
    <cfRule type="colorScale" priority="1">
      <colorScale>
        <cfvo type="min"/>
        <cfvo type="percentile" val="50"/>
        <cfvo type="max"/>
        <color rgb="FFF8696B"/>
        <color rgb="FFFCFCFF"/>
        <color rgb="FF63BE7B"/>
      </colorScale>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31" r:id="rId3" name="Option Button 7">
              <controlPr defaultSize="0" autoFill="0" autoLine="0" autoPict="0">
                <anchor moveWithCells="1">
                  <from>
                    <xdr:col>23</xdr:col>
                    <xdr:colOff>838200</xdr:colOff>
                    <xdr:row>42</xdr:row>
                    <xdr:rowOff>139700</xdr:rowOff>
                  </from>
                  <to>
                    <xdr:col>23</xdr:col>
                    <xdr:colOff>1320800</xdr:colOff>
                    <xdr:row>44</xdr:row>
                    <xdr:rowOff>12700</xdr:rowOff>
                  </to>
                </anchor>
              </controlPr>
            </control>
          </mc:Choice>
        </mc:AlternateContent>
        <mc:AlternateContent xmlns:mc="http://schemas.openxmlformats.org/markup-compatibility/2006">
          <mc:Choice Requires="x14">
            <control shapeId="1032" r:id="rId4" name="Option Button 8">
              <controlPr defaultSize="0" autoFill="0" autoLine="0" autoPict="0">
                <anchor moveWithCells="1">
                  <from>
                    <xdr:col>23</xdr:col>
                    <xdr:colOff>850900</xdr:colOff>
                    <xdr:row>43</xdr:row>
                    <xdr:rowOff>139700</xdr:rowOff>
                  </from>
                  <to>
                    <xdr:col>23</xdr:col>
                    <xdr:colOff>1282700</xdr:colOff>
                    <xdr:row>45</xdr:row>
                    <xdr:rowOff>25400</xdr:rowOff>
                  </to>
                </anchor>
              </controlPr>
            </control>
          </mc:Choice>
        </mc:AlternateContent>
        <mc:AlternateContent xmlns:mc="http://schemas.openxmlformats.org/markup-compatibility/2006">
          <mc:Choice Requires="x14">
            <control shapeId="1033" r:id="rId5" name="Option Button 9">
              <controlPr defaultSize="0" autoFill="0" autoLine="0" autoPict="0">
                <anchor moveWithCells="1">
                  <from>
                    <xdr:col>23</xdr:col>
                    <xdr:colOff>850900</xdr:colOff>
                    <xdr:row>44</xdr:row>
                    <xdr:rowOff>139700</xdr:rowOff>
                  </from>
                  <to>
                    <xdr:col>23</xdr:col>
                    <xdr:colOff>1282700</xdr:colOff>
                    <xdr:row>46</xdr:row>
                    <xdr:rowOff>25400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ACB91-49F8-4555-A5B6-F3565C302C0D}">
  <sheetPr codeName="Sheet3">
    <tabColor rgb="FF00B050"/>
  </sheetPr>
  <dimension ref="A1:Y31"/>
  <sheetViews>
    <sheetView workbookViewId="0">
      <selection activeCell="O7" sqref="O7"/>
    </sheetView>
  </sheetViews>
  <sheetFormatPr baseColWidth="10" defaultColWidth="8.83203125" defaultRowHeight="15" x14ac:dyDescent="0.2"/>
  <cols>
    <col min="1" max="1" width="25.5" customWidth="1"/>
    <col min="3" max="3" width="13.1640625" customWidth="1"/>
    <col min="4" max="4" width="11.5" customWidth="1"/>
    <col min="5" max="5" width="12.5" customWidth="1"/>
    <col min="6" max="6" width="10.83203125" customWidth="1"/>
    <col min="7" max="7" width="12.33203125" customWidth="1"/>
    <col min="8" max="8" width="13.1640625" customWidth="1"/>
    <col min="9" max="9" width="12.5" customWidth="1"/>
    <col min="10" max="10" width="11" customWidth="1"/>
    <col min="11" max="11" width="10.1640625" customWidth="1"/>
    <col min="12" max="12" width="11.5" customWidth="1"/>
    <col min="13" max="13" width="10.83203125" customWidth="1"/>
    <col min="15" max="15" width="13.6640625" customWidth="1"/>
    <col min="16" max="16" width="7.33203125" customWidth="1"/>
    <col min="17" max="17" width="6.83203125" customWidth="1"/>
    <col min="18" max="18" width="7.1640625" customWidth="1"/>
    <col min="19" max="19" width="8.5" customWidth="1"/>
    <col min="20" max="20" width="7.83203125" customWidth="1"/>
    <col min="21" max="21" width="10.1640625" customWidth="1"/>
    <col min="22" max="22" width="9.5" customWidth="1"/>
    <col min="23" max="23" width="8.1640625" customWidth="1"/>
    <col min="24" max="24" width="10.1640625" customWidth="1"/>
    <col min="25" max="25" width="7.6640625" customWidth="1"/>
  </cols>
  <sheetData>
    <row r="1" spans="1:25" x14ac:dyDescent="0.2">
      <c r="C1" s="93" t="s">
        <v>29</v>
      </c>
      <c r="D1" s="93"/>
      <c r="E1" s="93"/>
      <c r="F1" s="93"/>
      <c r="G1" s="93"/>
      <c r="H1" s="93"/>
      <c r="I1" s="93"/>
      <c r="J1" s="93"/>
      <c r="K1" s="93"/>
      <c r="L1" s="93"/>
      <c r="M1" s="93"/>
      <c r="O1" s="93" t="s">
        <v>30</v>
      </c>
      <c r="P1" s="93"/>
      <c r="Q1" s="93"/>
      <c r="R1" s="93"/>
      <c r="S1" s="93"/>
      <c r="T1" s="93"/>
      <c r="U1" s="93"/>
      <c r="V1" s="93"/>
      <c r="W1" s="93"/>
      <c r="X1" s="93"/>
      <c r="Y1" s="93"/>
    </row>
    <row r="2" spans="1:25" x14ac:dyDescent="0.2">
      <c r="A2" s="49" t="s">
        <v>43</v>
      </c>
      <c r="C2" s="50">
        <v>-0.5</v>
      </c>
      <c r="D2" s="50">
        <v>-0.4</v>
      </c>
      <c r="E2" s="50">
        <v>-0.3</v>
      </c>
      <c r="F2" s="50">
        <v>-0.2</v>
      </c>
      <c r="G2" s="50">
        <v>-0.1</v>
      </c>
      <c r="H2" s="50">
        <v>0</v>
      </c>
      <c r="I2" s="50">
        <v>0.1</v>
      </c>
      <c r="J2" s="50">
        <v>0.2</v>
      </c>
      <c r="K2" s="50">
        <v>0.3</v>
      </c>
      <c r="L2" s="50">
        <v>0.4</v>
      </c>
      <c r="M2" s="50">
        <v>0.5</v>
      </c>
      <c r="O2" s="50">
        <v>-0.5</v>
      </c>
      <c r="P2" s="50">
        <v>-0.4</v>
      </c>
      <c r="Q2" s="50">
        <v>-0.3</v>
      </c>
      <c r="R2" s="50">
        <v>-0.2</v>
      </c>
      <c r="S2" s="50">
        <v>-0.1</v>
      </c>
      <c r="T2" s="50">
        <v>0</v>
      </c>
      <c r="U2" s="50">
        <v>0.1</v>
      </c>
      <c r="V2" s="50">
        <v>0.2</v>
      </c>
      <c r="W2" s="50">
        <v>0.3</v>
      </c>
      <c r="X2" s="50">
        <v>0.4</v>
      </c>
      <c r="Y2" s="50">
        <v>0.5</v>
      </c>
    </row>
    <row r="3" spans="1:25" x14ac:dyDescent="0.2">
      <c r="A3" s="51" t="s">
        <v>1</v>
      </c>
      <c r="B3" s="52">
        <v>1</v>
      </c>
      <c r="C3" s="53">
        <v>9604557.566729784</v>
      </c>
      <c r="D3" s="53">
        <v>8631830.2940025125</v>
      </c>
      <c r="E3" s="53">
        <v>7659103.0212752391</v>
      </c>
      <c r="F3" s="53">
        <v>6686375.7485479675</v>
      </c>
      <c r="G3" s="53">
        <v>5713648.4758206923</v>
      </c>
      <c r="H3" s="54">
        <f>Sheet1!$H$28</f>
        <v>4740921.2030934189</v>
      </c>
      <c r="I3" s="53">
        <v>3768193.9303661473</v>
      </c>
      <c r="J3" s="53">
        <v>2795466.6576388739</v>
      </c>
      <c r="K3" s="53">
        <v>1822739.3849116014</v>
      </c>
      <c r="L3" s="53">
        <v>850012.11218432896</v>
      </c>
      <c r="M3" s="53">
        <v>-122715.16054294445</v>
      </c>
      <c r="N3" s="35"/>
      <c r="O3" s="58">
        <v>1.9604557566729786</v>
      </c>
      <c r="P3" s="58">
        <v>1.8631830294002514</v>
      </c>
      <c r="Q3" s="58">
        <v>1.7659103021275238</v>
      </c>
      <c r="R3" s="58">
        <v>1.6686375748547968</v>
      </c>
      <c r="S3" s="58">
        <v>1.5713648475820692</v>
      </c>
      <c r="T3" s="55">
        <f>Sheet1!$H$30</f>
        <v>1.4740921203093418</v>
      </c>
      <c r="U3" s="58">
        <v>1.3768193930366146</v>
      </c>
      <c r="V3" s="58">
        <v>1.2795466657638874</v>
      </c>
      <c r="W3" s="58">
        <v>1.1822739384911602</v>
      </c>
      <c r="X3" s="58">
        <v>1.0850012112184328</v>
      </c>
      <c r="Y3" s="58">
        <v>0.98772848394570556</v>
      </c>
    </row>
    <row r="4" spans="1:25" x14ac:dyDescent="0.2">
      <c r="A4" s="51" t="s">
        <v>40</v>
      </c>
      <c r="B4" s="52">
        <v>1</v>
      </c>
      <c r="C4" s="53">
        <v>2710488.8774326043</v>
      </c>
      <c r="D4" s="53">
        <v>3116575.3425647672</v>
      </c>
      <c r="E4" s="53">
        <v>3522661.8076969311</v>
      </c>
      <c r="F4" s="53">
        <v>3928748.272829093</v>
      </c>
      <c r="G4" s="53">
        <v>4334834.7379612569</v>
      </c>
      <c r="H4" s="54">
        <f>Sheet1!$H$28</f>
        <v>4740921.2030934189</v>
      </c>
      <c r="I4" s="53">
        <v>5147007.6682255827</v>
      </c>
      <c r="J4" s="53">
        <v>5553094.1333577465</v>
      </c>
      <c r="K4" s="53">
        <v>5959180.5984899104</v>
      </c>
      <c r="L4" s="53">
        <v>6365267.0636220742</v>
      </c>
      <c r="M4" s="53">
        <v>6771353.5287542362</v>
      </c>
      <c r="N4" s="35"/>
      <c r="O4" s="59">
        <v>1.2710488877432604</v>
      </c>
      <c r="P4" s="59">
        <v>1.3116575342564767</v>
      </c>
      <c r="Q4" s="59">
        <v>1.3522661807696932</v>
      </c>
      <c r="R4" s="59">
        <v>1.3928748272829092</v>
      </c>
      <c r="S4" s="59">
        <v>1.4334834737961257</v>
      </c>
      <c r="T4" s="55">
        <f>Sheet1!$H$30</f>
        <v>1.4740921203093418</v>
      </c>
      <c r="U4" s="59">
        <v>1.5147007668225583</v>
      </c>
      <c r="V4" s="59">
        <v>1.5553094133357748</v>
      </c>
      <c r="W4" s="59">
        <v>1.595918059848991</v>
      </c>
      <c r="X4" s="59">
        <v>1.6365267063622073</v>
      </c>
      <c r="Y4" s="59">
        <v>1.6771353528754236</v>
      </c>
    </row>
    <row r="5" spans="1:25" x14ac:dyDescent="0.2">
      <c r="A5" s="51" t="s">
        <v>42</v>
      </c>
      <c r="B5" s="52">
        <v>1</v>
      </c>
      <c r="C5" s="53">
        <v>10796442.898265958</v>
      </c>
      <c r="D5" s="53">
        <v>9334516.0777946413</v>
      </c>
      <c r="E5" s="53">
        <v>8012299.8308848664</v>
      </c>
      <c r="F5" s="53">
        <v>6814602.6129704081</v>
      </c>
      <c r="G5" s="53">
        <v>5728065.3829447944</v>
      </c>
      <c r="H5" s="54">
        <f>Sheet1!$H$28</f>
        <v>4740921.2030934189</v>
      </c>
      <c r="I5" s="53">
        <v>3842788.6846522745</v>
      </c>
      <c r="J5" s="53">
        <v>3024494.2121423613</v>
      </c>
      <c r="K5" s="53">
        <v>2277918.6807520716</v>
      </c>
      <c r="L5" s="53">
        <v>1595865.149078913</v>
      </c>
      <c r="M5" s="53">
        <v>971944.36763096228</v>
      </c>
      <c r="N5" s="35"/>
      <c r="O5" s="59">
        <v>2.0796442898265957</v>
      </c>
      <c r="P5" s="59">
        <v>1.9334516077794641</v>
      </c>
      <c r="Q5" s="59">
        <v>1.8012299830884868</v>
      </c>
      <c r="R5" s="59">
        <v>1.6814602612970408</v>
      </c>
      <c r="S5" s="59">
        <v>1.5728065382944796</v>
      </c>
      <c r="T5" s="55">
        <f>Sheet1!$H$30</f>
        <v>1.4740921203093418</v>
      </c>
      <c r="U5" s="59">
        <v>1.3842788684652274</v>
      </c>
      <c r="V5" s="59">
        <v>1.3024494212142361</v>
      </c>
      <c r="W5" s="59">
        <v>1.2277918680752071</v>
      </c>
      <c r="X5" s="59">
        <v>1.1595865149078912</v>
      </c>
      <c r="Y5" s="59">
        <v>1.0971944367630961</v>
      </c>
    </row>
    <row r="6" spans="1:25" x14ac:dyDescent="0.2">
      <c r="A6" s="51" t="s">
        <v>5</v>
      </c>
      <c r="B6" s="52">
        <v>1</v>
      </c>
      <c r="C6" s="53">
        <v>2902835.4062460205</v>
      </c>
      <c r="D6" s="53">
        <v>3247058.2693214817</v>
      </c>
      <c r="E6" s="53">
        <v>3602608.5873465016</v>
      </c>
      <c r="F6" s="53">
        <v>3969850.3064178564</v>
      </c>
      <c r="G6" s="53">
        <v>4349158.7992134634</v>
      </c>
      <c r="H6" s="54">
        <f>Sheet1!$H$28</f>
        <v>4740921.2030934189</v>
      </c>
      <c r="I6" s="53">
        <v>5145536.7673708815</v>
      </c>
      <c r="J6" s="53">
        <v>5563417.209974952</v>
      </c>
      <c r="K6" s="53">
        <v>5994987.0837324578</v>
      </c>
      <c r="L6" s="53">
        <v>6440684.152500255</v>
      </c>
      <c r="M6" s="53">
        <v>6900959.7773849182</v>
      </c>
      <c r="N6" s="35"/>
      <c r="O6" s="59">
        <v>1.290283540624602</v>
      </c>
      <c r="P6" s="59">
        <v>1.3247058269321481</v>
      </c>
      <c r="Q6" s="59">
        <v>1.3602608587346503</v>
      </c>
      <c r="R6" s="59">
        <v>1.3969850306417857</v>
      </c>
      <c r="S6" s="59">
        <v>1.4349158799213464</v>
      </c>
      <c r="T6" s="55">
        <f>Sheet1!$H$30</f>
        <v>1.4740921203093418</v>
      </c>
      <c r="U6" s="59">
        <v>1.5145536767370882</v>
      </c>
      <c r="V6" s="59">
        <v>1.5563417209974952</v>
      </c>
      <c r="W6" s="59">
        <v>1.5994987083732459</v>
      </c>
      <c r="X6" s="59">
        <v>1.6440684152500253</v>
      </c>
      <c r="Y6" s="59">
        <v>1.6900959777384919</v>
      </c>
    </row>
    <row r="7" spans="1:25" x14ac:dyDescent="0.2">
      <c r="A7" s="51" t="s">
        <v>44</v>
      </c>
      <c r="B7" s="52">
        <v>1</v>
      </c>
      <c r="C7" s="53">
        <v>-199858.57813660987</v>
      </c>
      <c r="D7" s="53">
        <v>788297.3781093955</v>
      </c>
      <c r="E7" s="53">
        <v>1776453.3343554009</v>
      </c>
      <c r="F7" s="53">
        <v>2764609.2906014072</v>
      </c>
      <c r="G7" s="53">
        <v>3752765.2468474135</v>
      </c>
      <c r="H7" s="54">
        <f>Sheet1!$H$28</f>
        <v>4740921.2030934189</v>
      </c>
      <c r="I7" s="53">
        <v>5729077.1593394261</v>
      </c>
      <c r="J7" s="53">
        <v>6717233.1155854315</v>
      </c>
      <c r="K7" s="53">
        <v>7705389.0718314406</v>
      </c>
      <c r="L7" s="53">
        <v>8693545.0280774441</v>
      </c>
      <c r="M7" s="53">
        <v>9681700.9843234513</v>
      </c>
      <c r="N7" s="35"/>
      <c r="O7" s="59">
        <v>0.98001414218633898</v>
      </c>
      <c r="P7" s="59">
        <v>1.0788297378109395</v>
      </c>
      <c r="Q7" s="59">
        <v>1.1776453334355401</v>
      </c>
      <c r="R7" s="59">
        <v>1.2764609290601407</v>
      </c>
      <c r="S7" s="59">
        <v>1.3752765246847414</v>
      </c>
      <c r="T7" s="55">
        <f>Sheet1!$H$30</f>
        <v>1.4740921203093418</v>
      </c>
      <c r="U7" s="59">
        <v>1.5729077159339426</v>
      </c>
      <c r="V7" s="59">
        <v>1.671723311558543</v>
      </c>
      <c r="W7" s="59">
        <v>1.7705389071831441</v>
      </c>
      <c r="X7" s="59">
        <v>1.8693545028077443</v>
      </c>
      <c r="Y7" s="59">
        <v>1.9681700984323451</v>
      </c>
    </row>
    <row r="8" spans="1:25" x14ac:dyDescent="0.2">
      <c r="C8" s="53"/>
      <c r="D8" s="53"/>
      <c r="E8" s="53"/>
      <c r="F8" s="53"/>
      <c r="G8" s="53"/>
      <c r="H8" s="53"/>
      <c r="I8" s="53"/>
      <c r="J8" s="53"/>
      <c r="K8" s="53"/>
      <c r="L8" s="53"/>
      <c r="M8" s="53"/>
      <c r="N8" s="35"/>
      <c r="O8" s="35"/>
      <c r="P8" s="35"/>
      <c r="Q8" s="35"/>
      <c r="R8" s="35"/>
      <c r="S8" s="35"/>
      <c r="T8" s="35"/>
      <c r="U8" s="35"/>
      <c r="V8" s="35"/>
      <c r="W8" s="35"/>
      <c r="X8" s="35"/>
      <c r="Y8" s="35"/>
    </row>
    <row r="9" spans="1:25" x14ac:dyDescent="0.2">
      <c r="C9" s="53"/>
      <c r="D9" s="53"/>
      <c r="E9" s="53"/>
      <c r="F9" s="53"/>
      <c r="G9" s="53"/>
      <c r="H9" s="53"/>
      <c r="I9" s="53"/>
      <c r="J9" s="53"/>
      <c r="K9" s="53"/>
      <c r="L9" s="53"/>
      <c r="M9" s="53"/>
      <c r="N9" s="35"/>
      <c r="O9" s="35"/>
      <c r="P9" s="35"/>
      <c r="Q9" s="35"/>
      <c r="R9" s="35"/>
      <c r="S9" s="35"/>
      <c r="T9" s="35"/>
      <c r="U9" s="35"/>
      <c r="V9" s="35"/>
      <c r="W9" s="35"/>
      <c r="X9" s="35"/>
      <c r="Y9" s="35"/>
    </row>
    <row r="10" spans="1:25" x14ac:dyDescent="0.2">
      <c r="C10" s="53"/>
      <c r="D10" s="53"/>
      <c r="E10" s="53"/>
      <c r="F10" s="53"/>
      <c r="G10" s="53"/>
      <c r="H10" s="53"/>
      <c r="I10" s="53"/>
      <c r="J10" s="53"/>
      <c r="K10" s="53"/>
      <c r="L10" s="53"/>
      <c r="M10" s="53"/>
    </row>
    <row r="31" spans="1:1" x14ac:dyDescent="0.2">
      <c r="A31" s="49"/>
    </row>
  </sheetData>
  <mergeCells count="2">
    <mergeCell ref="C1:M1"/>
    <mergeCell ref="O1:Y1"/>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ensitivity">
                <anchor moveWithCells="1" sizeWithCells="1">
                  <from>
                    <xdr:col>0</xdr:col>
                    <xdr:colOff>152400</xdr:colOff>
                    <xdr:row>10</xdr:row>
                    <xdr:rowOff>101600</xdr:rowOff>
                  </from>
                  <to>
                    <xdr:col>0</xdr:col>
                    <xdr:colOff>1384300</xdr:colOff>
                    <xdr:row>12</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482D-4410-4A5E-9F6A-8E432DD675B7}">
  <sheetPr codeName="Sheet4">
    <outlinePr summaryBelow="0"/>
  </sheetPr>
  <dimension ref="B1:G17"/>
  <sheetViews>
    <sheetView showGridLines="0" workbookViewId="0">
      <selection activeCell="J3" sqref="J3"/>
    </sheetView>
  </sheetViews>
  <sheetFormatPr baseColWidth="10" defaultColWidth="8.83203125" defaultRowHeight="15" outlineLevelRow="1" outlineLevelCol="1" x14ac:dyDescent="0.2"/>
  <cols>
    <col min="3" max="3" width="15.6640625" bestFit="1" customWidth="1"/>
    <col min="4" max="7" width="12.5" bestFit="1" customWidth="1" outlineLevel="1"/>
  </cols>
  <sheetData>
    <row r="1" spans="2:7" ht="16" thickBot="1" x14ac:dyDescent="0.25"/>
    <row r="2" spans="2:7" ht="16" x14ac:dyDescent="0.2">
      <c r="B2" s="62" t="s">
        <v>53</v>
      </c>
      <c r="C2" s="62"/>
      <c r="D2" s="66"/>
      <c r="E2" s="66"/>
      <c r="F2" s="66"/>
      <c r="G2" s="66"/>
    </row>
    <row r="3" spans="2:7" ht="16" collapsed="1" x14ac:dyDescent="0.2">
      <c r="B3" s="61"/>
      <c r="C3" s="61"/>
      <c r="D3" s="67" t="s">
        <v>55</v>
      </c>
      <c r="E3" s="67" t="s">
        <v>47</v>
      </c>
      <c r="F3" s="67" t="s">
        <v>48</v>
      </c>
      <c r="G3" s="67" t="s">
        <v>49</v>
      </c>
    </row>
    <row r="4" spans="2:7" ht="48" hidden="1" outlineLevel="1" x14ac:dyDescent="0.2">
      <c r="B4" s="63"/>
      <c r="C4" s="63"/>
      <c r="E4" s="70" t="s">
        <v>52</v>
      </c>
      <c r="F4" s="70" t="s">
        <v>52</v>
      </c>
      <c r="G4" s="70" t="s">
        <v>52</v>
      </c>
    </row>
    <row r="5" spans="2:7" x14ac:dyDescent="0.2">
      <c r="B5" s="64" t="s">
        <v>54</v>
      </c>
      <c r="C5" s="64"/>
      <c r="D5" s="17"/>
      <c r="E5" s="17"/>
      <c r="F5" s="17"/>
      <c r="G5" s="17"/>
    </row>
    <row r="6" spans="2:7" outlineLevel="1" x14ac:dyDescent="0.2">
      <c r="B6" s="63"/>
      <c r="C6" s="63" t="s">
        <v>17</v>
      </c>
      <c r="D6" s="5">
        <v>0.2</v>
      </c>
      <c r="E6" s="68">
        <v>0.25</v>
      </c>
      <c r="F6" s="68">
        <v>0.2</v>
      </c>
      <c r="G6" s="68">
        <v>0.15</v>
      </c>
    </row>
    <row r="7" spans="2:7" outlineLevel="1" x14ac:dyDescent="0.2">
      <c r="B7" s="63"/>
      <c r="C7" s="63" t="s">
        <v>50</v>
      </c>
      <c r="D7" s="56">
        <v>0.5</v>
      </c>
      <c r="E7" s="69">
        <v>1</v>
      </c>
      <c r="F7" s="69">
        <v>0.5</v>
      </c>
      <c r="G7" s="69">
        <v>0.25</v>
      </c>
    </row>
    <row r="8" spans="2:7" outlineLevel="1" x14ac:dyDescent="0.2">
      <c r="B8" s="63"/>
      <c r="C8" s="63" t="s">
        <v>51</v>
      </c>
      <c r="D8" s="5">
        <v>0.04</v>
      </c>
      <c r="E8" s="68">
        <v>0.08</v>
      </c>
      <c r="F8" s="68">
        <v>0.04</v>
      </c>
      <c r="G8" s="68">
        <v>-0.02</v>
      </c>
    </row>
    <row r="9" spans="2:7" x14ac:dyDescent="0.2">
      <c r="B9" s="64" t="s">
        <v>56</v>
      </c>
      <c r="C9" s="64"/>
      <c r="D9" s="17"/>
      <c r="E9" s="17"/>
      <c r="F9" s="17"/>
      <c r="G9" s="17"/>
    </row>
    <row r="10" spans="2:7" outlineLevel="1" x14ac:dyDescent="0.2">
      <c r="B10" s="63"/>
      <c r="C10" s="63" t="s">
        <v>60</v>
      </c>
      <c r="D10" s="71">
        <v>4740921.2030934198</v>
      </c>
      <c r="E10" s="71">
        <v>3406981.4554330399</v>
      </c>
      <c r="F10" s="71">
        <v>4740921.2030934198</v>
      </c>
      <c r="G10" s="71">
        <v>1848052.33573244</v>
      </c>
    </row>
    <row r="11" spans="2:7" outlineLevel="1" x14ac:dyDescent="0.2">
      <c r="B11" s="63"/>
      <c r="C11" s="63" t="s">
        <v>61</v>
      </c>
      <c r="D11" s="5">
        <v>0.12265676873759</v>
      </c>
      <c r="E11" s="5">
        <v>6.0780063432635603E-2</v>
      </c>
      <c r="F11" s="5">
        <v>0.12265676873759</v>
      </c>
      <c r="G11" s="5">
        <v>0.15545463335508</v>
      </c>
    </row>
    <row r="12" spans="2:7" outlineLevel="1" x14ac:dyDescent="0.2">
      <c r="B12" s="63"/>
      <c r="C12" s="63" t="s">
        <v>62</v>
      </c>
      <c r="D12" s="35">
        <v>1.47409212030934</v>
      </c>
      <c r="E12" s="35">
        <v>1.3406981455433</v>
      </c>
      <c r="F12" s="35">
        <v>1.47409212030934</v>
      </c>
      <c r="G12" s="35">
        <v>1.18480523357324</v>
      </c>
    </row>
    <row r="13" spans="2:7" outlineLevel="1" x14ac:dyDescent="0.2">
      <c r="B13" s="63"/>
      <c r="C13" s="63" t="s">
        <v>63</v>
      </c>
      <c r="D13" s="35">
        <v>8.1673228346456703</v>
      </c>
      <c r="E13" s="35">
        <v>10.5752461322082</v>
      </c>
      <c r="F13" s="35">
        <v>8.1673228346456703</v>
      </c>
      <c r="G13" s="35">
        <v>7.3187871337840598</v>
      </c>
    </row>
    <row r="14" spans="2:7" ht="16" outlineLevel="1" thickBot="1" x14ac:dyDescent="0.25">
      <c r="B14" s="65"/>
      <c r="C14" s="65" t="s">
        <v>64</v>
      </c>
      <c r="D14" s="72">
        <v>9.8707076908908302</v>
      </c>
      <c r="E14" s="72">
        <v>11.439070974765199</v>
      </c>
      <c r="F14" s="72">
        <v>9.8707076908908302</v>
      </c>
      <c r="G14" s="72">
        <v>11.1918353677866</v>
      </c>
    </row>
    <row r="15" spans="2:7" x14ac:dyDescent="0.2">
      <c r="B15" t="s">
        <v>57</v>
      </c>
    </row>
    <row r="16" spans="2:7" x14ac:dyDescent="0.2">
      <c r="B16" t="s">
        <v>58</v>
      </c>
    </row>
    <row r="17" spans="2:2" x14ac:dyDescent="0.2">
      <c r="B17" t="s">
        <v>59</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56786-CB77-44F2-9F44-95529620C3FB}">
  <sheetPr codeName="Sheet5"/>
  <dimension ref="B3:F17"/>
  <sheetViews>
    <sheetView workbookViewId="0">
      <selection activeCell="D19" sqref="D19"/>
    </sheetView>
  </sheetViews>
  <sheetFormatPr baseColWidth="10" defaultColWidth="8.83203125" defaultRowHeight="15" x14ac:dyDescent="0.2"/>
  <cols>
    <col min="2" max="2" width="28.5" customWidth="1"/>
    <col min="3" max="3" width="15.6640625" customWidth="1"/>
    <col min="4" max="4" width="19.33203125" customWidth="1"/>
    <col min="5" max="5" width="14.33203125" bestFit="1" customWidth="1"/>
  </cols>
  <sheetData>
    <row r="3" spans="2:5" x14ac:dyDescent="0.2">
      <c r="B3" s="4" t="s">
        <v>66</v>
      </c>
    </row>
    <row r="4" spans="2:5" x14ac:dyDescent="0.2">
      <c r="C4" t="s">
        <v>67</v>
      </c>
      <c r="D4" t="s">
        <v>68</v>
      </c>
      <c r="E4" t="s">
        <v>69</v>
      </c>
    </row>
    <row r="5" spans="2:5" x14ac:dyDescent="0.2">
      <c r="B5" t="s">
        <v>1</v>
      </c>
      <c r="C5" s="13">
        <f>Table1[[#This Row],[Values]]</f>
        <v>10000000</v>
      </c>
      <c r="D5" s="86">
        <f>Sheet1!Y28</f>
        <v>15837697.52</v>
      </c>
      <c r="E5" s="32">
        <f ca="1">C5+(D5-C5)*RAND()</f>
        <v>14223290.462310452</v>
      </c>
    </row>
    <row r="6" spans="2:5" x14ac:dyDescent="0.2">
      <c r="B6" t="s">
        <v>40</v>
      </c>
      <c r="C6" s="56">
        <f>Sheet1!Y29</f>
        <v>1.45</v>
      </c>
      <c r="D6" s="12">
        <f>2.25</f>
        <v>2.25</v>
      </c>
      <c r="E6" s="12">
        <f ca="1">C6+(D6-C6)*RAND()</f>
        <v>1.6326708738553481</v>
      </c>
    </row>
    <row r="7" spans="2:5" x14ac:dyDescent="0.2">
      <c r="B7" t="s">
        <v>41</v>
      </c>
      <c r="C7" s="85">
        <f>Sheet1!Y30</f>
        <v>780338.11265418108</v>
      </c>
      <c r="D7" s="7">
        <f>Sheet1!Y11</f>
        <v>1500000</v>
      </c>
      <c r="E7" s="32">
        <f t="shared" ref="E7:E8" ca="1" si="0">C7+(D7-C7)*RAND()</f>
        <v>834869.28077032987</v>
      </c>
    </row>
    <row r="8" spans="2:5" x14ac:dyDescent="0.2">
      <c r="B8" t="s">
        <v>5</v>
      </c>
      <c r="C8" s="5">
        <f>Sheet1!Y31</f>
        <v>-2.0181385233234643E-2</v>
      </c>
      <c r="D8" s="57">
        <f>0.08</f>
        <v>0.08</v>
      </c>
      <c r="E8" s="57">
        <f t="shared" ca="1" si="0"/>
        <v>3.0896331579746507E-2</v>
      </c>
    </row>
    <row r="9" spans="2:5" x14ac:dyDescent="0.2">
      <c r="B9" t="s">
        <v>42</v>
      </c>
      <c r="C9" s="5">
        <f>Sheet1!Y8</f>
        <v>0.1</v>
      </c>
      <c r="D9" s="5">
        <f>Sheet1!Y32</f>
        <v>0.16756303948709339</v>
      </c>
      <c r="E9" s="57">
        <f ca="1">C9+(D9-C9)*RAND()</f>
        <v>0.15923327248153349</v>
      </c>
    </row>
    <row r="11" spans="2:5" x14ac:dyDescent="0.2">
      <c r="B11" t="s">
        <v>71</v>
      </c>
    </row>
    <row r="12" spans="2:5" x14ac:dyDescent="0.2">
      <c r="B12" t="s">
        <v>72</v>
      </c>
      <c r="C12">
        <v>15</v>
      </c>
    </row>
    <row r="17" spans="6:6" x14ac:dyDescent="0.2">
      <c r="F17" s="87"/>
    </row>
  </sheetData>
  <pageMargins left="0.7" right="0.7" top="0.75" bottom="0.75" header="0.3" footer="0.3"/>
  <pageSetup paperSize="9"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09DE1-2778-4E6C-9238-00E8DEFA7B26}">
  <sheetPr codeName="Sheet6"/>
  <dimension ref="A1:E15"/>
  <sheetViews>
    <sheetView workbookViewId="0">
      <selection activeCell="D1" sqref="D1"/>
    </sheetView>
  </sheetViews>
  <sheetFormatPr baseColWidth="10" defaultColWidth="8.83203125" defaultRowHeight="15" x14ac:dyDescent="0.2"/>
  <cols>
    <col min="5" max="5" width="12.5" customWidth="1"/>
  </cols>
  <sheetData>
    <row r="1" spans="1:5" x14ac:dyDescent="0.2">
      <c r="A1">
        <v>-1182423.0972</v>
      </c>
      <c r="B1">
        <v>2.5310385397372848E-2</v>
      </c>
      <c r="C1">
        <v>0.77137964542975479</v>
      </c>
      <c r="D1">
        <v>12.319612160423013</v>
      </c>
      <c r="E1" t="e">
        <v>#N/A</v>
      </c>
    </row>
    <row r="2" spans="1:5" x14ac:dyDescent="0.2">
      <c r="A2">
        <v>-751347.24349999998</v>
      </c>
      <c r="B2">
        <v>7.1951743477602914E-2</v>
      </c>
      <c r="C2">
        <v>0.93835167865505753</v>
      </c>
      <c r="D2">
        <v>9.4784862908755674</v>
      </c>
      <c r="E2" t="e">
        <v>#N/A</v>
      </c>
    </row>
    <row r="3" spans="1:5" x14ac:dyDescent="0.2">
      <c r="A3">
        <v>-1637380.0297000001</v>
      </c>
      <c r="B3">
        <v>6.4920402939421917E-2</v>
      </c>
      <c r="C3">
        <v>1.1074402971639254</v>
      </c>
      <c r="D3">
        <v>12.158205635469068</v>
      </c>
      <c r="E3" t="e">
        <v>#N/A</v>
      </c>
    </row>
    <row r="4" spans="1:5" x14ac:dyDescent="0.2">
      <c r="A4">
        <v>223671.52739999999</v>
      </c>
      <c r="B4">
        <v>7.0577433265724743E-2</v>
      </c>
      <c r="C4">
        <v>0.85497730925525361</v>
      </c>
      <c r="D4">
        <v>10.688343240670111</v>
      </c>
      <c r="E4">
        <v>13.237418686533342</v>
      </c>
    </row>
    <row r="5" spans="1:5" x14ac:dyDescent="0.2">
      <c r="A5">
        <v>2534170.9583999999</v>
      </c>
      <c r="B5">
        <v>7.9487236206045697E-2</v>
      </c>
      <c r="C5">
        <v>1.2039024247077299</v>
      </c>
      <c r="D5">
        <v>12.400635167082564</v>
      </c>
      <c r="E5" t="e">
        <v>#N/A</v>
      </c>
    </row>
    <row r="6" spans="1:5" x14ac:dyDescent="0.2">
      <c r="A6">
        <v>-940229.27450000006</v>
      </c>
      <c r="B6">
        <v>9.2184516479505874E-2</v>
      </c>
      <c r="C6">
        <v>1.0163641593940329</v>
      </c>
      <c r="D6">
        <v>10.104863066391591</v>
      </c>
      <c r="E6" t="e">
        <v>#N/A</v>
      </c>
    </row>
    <row r="7" spans="1:5" x14ac:dyDescent="0.2">
      <c r="A7">
        <v>-3519202.574</v>
      </c>
      <c r="B7">
        <v>8.5317877160990596E-2</v>
      </c>
      <c r="C7">
        <v>0.90930886007201328</v>
      </c>
      <c r="D7">
        <v>13.244012051380983</v>
      </c>
      <c r="E7" t="e">
        <v>#N/A</v>
      </c>
    </row>
    <row r="8" spans="1:5" x14ac:dyDescent="0.2">
      <c r="A8">
        <v>766536.11270000006</v>
      </c>
      <c r="B8">
        <v>5.1497082693743756E-2</v>
      </c>
      <c r="C8">
        <v>1.0156251539287771</v>
      </c>
      <c r="D8">
        <v>13.687671767338621</v>
      </c>
      <c r="E8" t="e">
        <v>#N/A</v>
      </c>
    </row>
    <row r="9" spans="1:5" x14ac:dyDescent="0.2">
      <c r="A9">
        <v>-2448450.2757000001</v>
      </c>
      <c r="B9">
        <v>1.3039920141708849E-2</v>
      </c>
      <c r="C9">
        <v>0.88382242865243998</v>
      </c>
      <c r="D9">
        <v>11.440335747902232</v>
      </c>
      <c r="E9" t="e">
        <v>#N/A</v>
      </c>
    </row>
    <row r="10" spans="1:5" x14ac:dyDescent="0.2">
      <c r="A10">
        <v>-3184662.3731</v>
      </c>
      <c r="B10">
        <v>1.4872481250002734E-2</v>
      </c>
      <c r="C10">
        <v>1.0955211809783325</v>
      </c>
      <c r="D10">
        <v>11.92970917692297</v>
      </c>
      <c r="E10" t="e">
        <v>#N/A</v>
      </c>
    </row>
    <row r="11" spans="1:5" x14ac:dyDescent="0.2">
      <c r="A11">
        <v>-2508156.7686000001</v>
      </c>
      <c r="B11">
        <v>6.9207431254702856E-2</v>
      </c>
      <c r="C11">
        <v>1.1019462121330641</v>
      </c>
      <c r="D11">
        <v>13.85208306405795</v>
      </c>
      <c r="E11" t="e">
        <v>#N/A</v>
      </c>
    </row>
    <row r="12" spans="1:5" x14ac:dyDescent="0.2">
      <c r="A12">
        <v>-2153404.9920000001</v>
      </c>
      <c r="B12">
        <v>9.6763596182122269E-2</v>
      </c>
      <c r="C12">
        <v>0.73412561316016833</v>
      </c>
      <c r="D12">
        <v>12.317102559950147</v>
      </c>
      <c r="E12" t="e">
        <v>#N/A</v>
      </c>
    </row>
    <row r="13" spans="1:5" x14ac:dyDescent="0.2">
      <c r="A13">
        <v>-3908932.3860999998</v>
      </c>
      <c r="B13">
        <v>7.6766182003904282E-2</v>
      </c>
      <c r="C13">
        <v>0.82783972298393915</v>
      </c>
      <c r="D13">
        <v>12.390146470448826</v>
      </c>
      <c r="E13">
        <v>13.990260679415735</v>
      </c>
    </row>
    <row r="14" spans="1:5" x14ac:dyDescent="0.2">
      <c r="A14">
        <v>-711818.58730000001</v>
      </c>
      <c r="B14">
        <v>4.4107725852468693E-2</v>
      </c>
      <c r="C14">
        <v>0.74909323294112884</v>
      </c>
      <c r="D14">
        <v>13.164602992512414</v>
      </c>
      <c r="E14">
        <v>12.313248860344201</v>
      </c>
    </row>
    <row r="15" spans="1:5" x14ac:dyDescent="0.2">
      <c r="A15">
        <v>-3000464.3764999998</v>
      </c>
      <c r="B15">
        <v>6.7833098823904203E-2</v>
      </c>
      <c r="C15">
        <v>0.85954098385232403</v>
      </c>
      <c r="D15">
        <v>10.972707216480043</v>
      </c>
      <c r="E15" t="e">
        <v>#N/A</v>
      </c>
    </row>
  </sheetData>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4895D-DCA7-4F6D-8A4A-3DB47DF16CA5}">
  <sheetPr codeName="Sheet7"/>
  <dimension ref="A1:AH52"/>
  <sheetViews>
    <sheetView topLeftCell="AD36" workbookViewId="0">
      <selection activeCell="AC35" sqref="AC35"/>
    </sheetView>
  </sheetViews>
  <sheetFormatPr baseColWidth="10" defaultColWidth="8.83203125" defaultRowHeight="15" x14ac:dyDescent="0.2"/>
  <cols>
    <col min="2" max="2" width="9.6640625" bestFit="1" customWidth="1"/>
    <col min="3" max="4" width="9.6640625" customWidth="1"/>
    <col min="5" max="5" width="9.6640625" hidden="1" customWidth="1"/>
    <col min="6" max="6" width="9.6640625" customWidth="1"/>
    <col min="12" max="12" width="0" hidden="1" customWidth="1"/>
    <col min="19" max="19" width="0" hidden="1" customWidth="1"/>
    <col min="20" max="20" width="11" customWidth="1"/>
    <col min="26" max="26" width="0" hidden="1" customWidth="1"/>
    <col min="27" max="27" width="12" customWidth="1"/>
    <col min="33" max="33" width="0" hidden="1" customWidth="1"/>
    <col min="34" max="34" width="12.83203125" customWidth="1"/>
  </cols>
  <sheetData>
    <row r="1" spans="1:34" x14ac:dyDescent="0.2">
      <c r="C1" t="s">
        <v>79</v>
      </c>
      <c r="D1" t="s">
        <v>73</v>
      </c>
      <c r="E1" t="s">
        <v>80</v>
      </c>
      <c r="F1" t="s">
        <v>81</v>
      </c>
      <c r="J1" t="s">
        <v>79</v>
      </c>
      <c r="K1" t="s">
        <v>73</v>
      </c>
      <c r="L1" t="s">
        <v>80</v>
      </c>
      <c r="M1" t="s">
        <v>81</v>
      </c>
      <c r="Q1" t="s">
        <v>82</v>
      </c>
      <c r="R1" t="s">
        <v>73</v>
      </c>
      <c r="S1" t="s">
        <v>80</v>
      </c>
      <c r="T1" t="s">
        <v>81</v>
      </c>
      <c r="X1" t="s">
        <v>82</v>
      </c>
      <c r="Y1" t="s">
        <v>73</v>
      </c>
      <c r="Z1" t="s">
        <v>80</v>
      </c>
      <c r="AA1" t="s">
        <v>81</v>
      </c>
      <c r="AE1" t="s">
        <v>82</v>
      </c>
      <c r="AF1" t="s">
        <v>73</v>
      </c>
      <c r="AG1" t="s">
        <v>80</v>
      </c>
      <c r="AH1" t="s">
        <v>81</v>
      </c>
    </row>
    <row r="2" spans="1:34" x14ac:dyDescent="0.2">
      <c r="A2" s="91" t="s">
        <v>60</v>
      </c>
      <c r="B2" s="91"/>
      <c r="C2">
        <v>1</v>
      </c>
      <c r="D2" s="44">
        <f>B8</f>
        <v>0</v>
      </c>
      <c r="E2" s="44">
        <f t="shared" ref="E2:E33" si="0">COUNTIFS(npv_data,"&gt;"&amp;D2,npv_data,"&lt;="&amp;D3)</f>
        <v>0</v>
      </c>
      <c r="F2" s="60">
        <f>E2/MC_sim!$C$12</f>
        <v>0</v>
      </c>
      <c r="H2" s="91" t="s">
        <v>61</v>
      </c>
      <c r="I2" s="91"/>
      <c r="J2">
        <v>1</v>
      </c>
      <c r="K2" s="88">
        <f>I7</f>
        <v>-10</v>
      </c>
      <c r="L2" s="44">
        <f t="shared" ref="L2:L33" si="1">COUNTIFS(irr_data,"&gt;"&amp;K2,irr_data,"&lt;="&amp;K3)</f>
        <v>0</v>
      </c>
      <c r="M2" s="57">
        <f>L2/MC_sim!$C$12</f>
        <v>0</v>
      </c>
      <c r="N2" s="57"/>
      <c r="O2" s="91" t="s">
        <v>62</v>
      </c>
      <c r="P2" s="91"/>
      <c r="Q2">
        <v>1</v>
      </c>
      <c r="R2">
        <f>P7</f>
        <v>-10</v>
      </c>
      <c r="S2">
        <f t="shared" ref="S2:S33" si="2">COUNTIFS(pi_data,"&gt;"&amp;R2,pi_data,"&lt;="&amp;R3)</f>
        <v>0</v>
      </c>
      <c r="T2" s="57">
        <f>S2/MC_sim!$C$12</f>
        <v>0</v>
      </c>
      <c r="V2" s="91" t="s">
        <v>63</v>
      </c>
      <c r="W2" s="91"/>
      <c r="X2">
        <v>1</v>
      </c>
      <c r="Y2">
        <f>W7</f>
        <v>-100</v>
      </c>
      <c r="Z2">
        <f t="shared" ref="Z2:Z33" si="3">COUNTIFS(pp_data,"&gt;"&amp;Y2,pp_data,"&lt;="&amp;Y3)</f>
        <v>0</v>
      </c>
      <c r="AA2" s="57">
        <f>Z2/MC_sim!$C$12</f>
        <v>0</v>
      </c>
      <c r="AC2" s="91" t="s">
        <v>64</v>
      </c>
      <c r="AD2" s="91"/>
      <c r="AE2">
        <v>1</v>
      </c>
      <c r="AF2" t="e">
        <f>AD7</f>
        <v>#N/A</v>
      </c>
      <c r="AG2" t="e" cm="1">
        <f t="array" ref="AG2">COUNTIFS(DPP_data_data,"&gt;"&amp;AF2,DPP_data,"&lt;="&amp;AF3)</f>
        <v>#NAME?</v>
      </c>
      <c r="AH2" s="57" t="e">
        <f>AG2/MC_sim!$C$12</f>
        <v>#NAME?</v>
      </c>
    </row>
    <row r="3" spans="1:34" x14ac:dyDescent="0.2">
      <c r="A3" t="s">
        <v>73</v>
      </c>
      <c r="B3">
        <f>MIN(npv_data)</f>
        <v>-3908932.3860999998</v>
      </c>
      <c r="C3">
        <f>C2+1</f>
        <v>2</v>
      </c>
      <c r="D3">
        <f>D2+$B$10/$B$12</f>
        <v>200000</v>
      </c>
      <c r="E3" s="44">
        <f t="shared" si="0"/>
        <v>1</v>
      </c>
      <c r="F3" s="60">
        <f>E3/MC_sim!$C$12</f>
        <v>6.6666666666666666E-2</v>
      </c>
      <c r="H3" t="s">
        <v>73</v>
      </c>
      <c r="I3">
        <f>MIN(irr_data)</f>
        <v>1.3039920141708849E-2</v>
      </c>
      <c r="J3">
        <f>J2+1</f>
        <v>2</v>
      </c>
      <c r="K3">
        <f>K2+$I$9/$B$12</f>
        <v>-9.6</v>
      </c>
      <c r="L3" s="44">
        <f t="shared" si="1"/>
        <v>0</v>
      </c>
      <c r="M3" s="57">
        <f>L3/MC_sim!$C$12</f>
        <v>0</v>
      </c>
      <c r="N3" s="57"/>
      <c r="O3" t="s">
        <v>73</v>
      </c>
      <c r="P3">
        <f>MIN(pi_data)</f>
        <v>0.73412561316016833</v>
      </c>
      <c r="Q3">
        <f>Q2+1</f>
        <v>2</v>
      </c>
      <c r="R3">
        <f>R2+$P$9/$B$12</f>
        <v>-9.6</v>
      </c>
      <c r="S3">
        <f t="shared" si="2"/>
        <v>0</v>
      </c>
      <c r="T3" s="57">
        <f>S3/MC_sim!$C$12</f>
        <v>0</v>
      </c>
      <c r="V3" t="s">
        <v>73</v>
      </c>
      <c r="W3" s="85">
        <f>MIN(pp_data)</f>
        <v>9.4784862908755674</v>
      </c>
      <c r="X3">
        <f>X2+1</f>
        <v>2</v>
      </c>
      <c r="Y3">
        <f>Y2+$W$9/$B$12</f>
        <v>-96</v>
      </c>
      <c r="Z3">
        <f t="shared" si="3"/>
        <v>0</v>
      </c>
      <c r="AA3" s="57">
        <f>Z3/MC_sim!$C$12</f>
        <v>0</v>
      </c>
      <c r="AC3" t="s">
        <v>73</v>
      </c>
      <c r="AD3">
        <f>MIN(DPP)</f>
        <v>0</v>
      </c>
      <c r="AE3">
        <f>AE2+1</f>
        <v>2</v>
      </c>
      <c r="AF3" t="e">
        <f>AF2+$AD$9/$B$12</f>
        <v>#N/A</v>
      </c>
      <c r="AG3" t="e" cm="1">
        <f t="array" ref="AG3">COUNTIFS(DPP_data_data,"&gt;"&amp;AF3,DPP_data,"&lt;="&amp;AF4)</f>
        <v>#NAME?</v>
      </c>
      <c r="AH3" s="57" t="e">
        <f>AG3/MC_sim!$C$12</f>
        <v>#NAME?</v>
      </c>
    </row>
    <row r="4" spans="1:34" x14ac:dyDescent="0.2">
      <c r="A4" t="s">
        <v>74</v>
      </c>
      <c r="B4">
        <f>MAX(npv_data)</f>
        <v>2534170.9583999999</v>
      </c>
      <c r="C4">
        <f t="shared" ref="C4:C51" si="4">C3+1</f>
        <v>3</v>
      </c>
      <c r="D4">
        <f t="shared" ref="D4:D52" si="5">D3+$B$10/$B$12</f>
        <v>400000</v>
      </c>
      <c r="E4" s="44">
        <f t="shared" si="0"/>
        <v>0</v>
      </c>
      <c r="F4" s="60">
        <f>E4/MC_sim!$C$12</f>
        <v>0</v>
      </c>
      <c r="H4" t="s">
        <v>74</v>
      </c>
      <c r="I4">
        <f>MAX(irr_data)</f>
        <v>9.6763596182122269E-2</v>
      </c>
      <c r="J4">
        <f t="shared" ref="J4:J51" si="6">J3+1</f>
        <v>3</v>
      </c>
      <c r="K4">
        <f t="shared" ref="K4:K52" si="7">K3+$I$9/$B$12</f>
        <v>-9.1999999999999993</v>
      </c>
      <c r="L4" s="44">
        <f t="shared" si="1"/>
        <v>0</v>
      </c>
      <c r="M4" s="57">
        <f>L4/MC_sim!$C$12</f>
        <v>0</v>
      </c>
      <c r="N4" s="57"/>
      <c r="O4" t="s">
        <v>74</v>
      </c>
      <c r="P4">
        <f>MAX(pi_data)</f>
        <v>1.2039024247077299</v>
      </c>
      <c r="Q4">
        <f t="shared" ref="Q4:Q51" si="8">Q3+1</f>
        <v>3</v>
      </c>
      <c r="R4">
        <f t="shared" ref="R4:R52" si="9">R3+$P$9/$B$12</f>
        <v>-9.1999999999999993</v>
      </c>
      <c r="S4">
        <f t="shared" si="2"/>
        <v>0</v>
      </c>
      <c r="T4" s="57">
        <f>S4/MC_sim!$C$12</f>
        <v>0</v>
      </c>
      <c r="V4" t="s">
        <v>74</v>
      </c>
      <c r="W4">
        <f>MAX(pp_data)</f>
        <v>13.85208306405795</v>
      </c>
      <c r="X4">
        <f t="shared" ref="X4:X51" si="10">X3+1</f>
        <v>3</v>
      </c>
      <c r="Y4">
        <f t="shared" ref="Y4:Y52" si="11">Y3+$W$9/$B$12</f>
        <v>-92</v>
      </c>
      <c r="Z4">
        <f t="shared" si="3"/>
        <v>0</v>
      </c>
      <c r="AA4" s="57">
        <f>Z4/MC_sim!$C$12</f>
        <v>0</v>
      </c>
      <c r="AC4" t="s">
        <v>74</v>
      </c>
      <c r="AD4" t="e">
        <f>MAX(DPP_data)</f>
        <v>#N/A</v>
      </c>
      <c r="AE4">
        <f t="shared" ref="AE4:AE51" si="12">AE3+1</f>
        <v>3</v>
      </c>
      <c r="AF4" t="e">
        <f t="shared" ref="AF4:AF52" si="13">AF3+$AD$9/$B$12</f>
        <v>#N/A</v>
      </c>
      <c r="AG4" t="e" cm="1">
        <f t="array" ref="AG4">COUNTIFS(DPP_data_data,"&gt;"&amp;AF4,DPP_data,"&lt;="&amp;AF5)</f>
        <v>#NAME?</v>
      </c>
      <c r="AH4" s="57" t="e">
        <f>AG4/MC_sim!$C$12</f>
        <v>#NAME?</v>
      </c>
    </row>
    <row r="5" spans="1:34" x14ac:dyDescent="0.2">
      <c r="A5" t="s">
        <v>75</v>
      </c>
      <c r="B5">
        <f>B4-B3</f>
        <v>6443103.3444999997</v>
      </c>
      <c r="C5">
        <f t="shared" si="4"/>
        <v>4</v>
      </c>
      <c r="D5">
        <f t="shared" si="5"/>
        <v>600000</v>
      </c>
      <c r="E5" s="44">
        <f t="shared" si="0"/>
        <v>1</v>
      </c>
      <c r="F5" s="60">
        <f>E5/MC_sim!$C$12</f>
        <v>6.6666666666666666E-2</v>
      </c>
      <c r="H5" t="s">
        <v>75</v>
      </c>
      <c r="I5">
        <f>I4-I3</f>
        <v>8.3723676040413419E-2</v>
      </c>
      <c r="J5">
        <f t="shared" si="6"/>
        <v>4</v>
      </c>
      <c r="K5">
        <f t="shared" si="7"/>
        <v>-8.7999999999999989</v>
      </c>
      <c r="L5" s="44">
        <f t="shared" si="1"/>
        <v>0</v>
      </c>
      <c r="M5" s="57">
        <f>L5/MC_sim!$C$12</f>
        <v>0</v>
      </c>
      <c r="N5" s="57"/>
      <c r="O5" t="s">
        <v>75</v>
      </c>
      <c r="P5">
        <f>P4-P3</f>
        <v>0.46977681154756157</v>
      </c>
      <c r="Q5">
        <f t="shared" si="8"/>
        <v>4</v>
      </c>
      <c r="R5">
        <f t="shared" si="9"/>
        <v>-8.7999999999999989</v>
      </c>
      <c r="S5">
        <f t="shared" si="2"/>
        <v>0</v>
      </c>
      <c r="T5" s="57">
        <f>S5/MC_sim!$C$12</f>
        <v>0</v>
      </c>
      <c r="V5" t="s">
        <v>75</v>
      </c>
      <c r="W5">
        <f>W4-W3</f>
        <v>4.373596773182383</v>
      </c>
      <c r="X5">
        <f t="shared" si="10"/>
        <v>4</v>
      </c>
      <c r="Y5">
        <f t="shared" si="11"/>
        <v>-88</v>
      </c>
      <c r="Z5">
        <f t="shared" si="3"/>
        <v>0</v>
      </c>
      <c r="AA5" s="57">
        <f>Z5/MC_sim!$C$12</f>
        <v>0</v>
      </c>
      <c r="AC5" t="s">
        <v>75</v>
      </c>
      <c r="AD5" t="e">
        <f>AD4-AD3</f>
        <v>#N/A</v>
      </c>
      <c r="AE5">
        <f t="shared" si="12"/>
        <v>4</v>
      </c>
      <c r="AF5" t="e">
        <f t="shared" si="13"/>
        <v>#N/A</v>
      </c>
      <c r="AG5" t="e" cm="1">
        <f t="array" ref="AG5">COUNTIFS(DPP_data_data,"&gt;"&amp;AF5,DPP_data,"&lt;="&amp;AF6)</f>
        <v>#NAME?</v>
      </c>
      <c r="AH5" s="57" t="e">
        <f>AG5/MC_sim!$C$12</f>
        <v>#NAME?</v>
      </c>
    </row>
    <row r="6" spans="1:34" x14ac:dyDescent="0.2">
      <c r="A6" t="s">
        <v>76</v>
      </c>
      <c r="B6">
        <f>10^LEN(ROUND(B4,0))</f>
        <v>10000000</v>
      </c>
      <c r="C6">
        <f t="shared" si="4"/>
        <v>5</v>
      </c>
      <c r="D6">
        <f t="shared" si="5"/>
        <v>800000</v>
      </c>
      <c r="E6" s="44">
        <f t="shared" si="0"/>
        <v>0</v>
      </c>
      <c r="F6" s="60">
        <f>E6/MC_sim!$C$12</f>
        <v>0</v>
      </c>
      <c r="H6" t="s">
        <v>76</v>
      </c>
      <c r="I6">
        <f>10^LEN(ROUND(I4,0))</f>
        <v>10</v>
      </c>
      <c r="J6">
        <f t="shared" si="6"/>
        <v>5</v>
      </c>
      <c r="K6">
        <f t="shared" si="7"/>
        <v>-8.3999999999999986</v>
      </c>
      <c r="L6" s="44">
        <f t="shared" si="1"/>
        <v>0</v>
      </c>
      <c r="M6" s="57">
        <f>L6/MC_sim!$C$12</f>
        <v>0</v>
      </c>
      <c r="N6" s="57"/>
      <c r="O6" t="s">
        <v>76</v>
      </c>
      <c r="P6">
        <f>10^LEN(ROUND(P4,0))</f>
        <v>10</v>
      </c>
      <c r="Q6">
        <f t="shared" si="8"/>
        <v>5</v>
      </c>
      <c r="R6">
        <f t="shared" si="9"/>
        <v>-8.3999999999999986</v>
      </c>
      <c r="S6">
        <f t="shared" si="2"/>
        <v>0</v>
      </c>
      <c r="T6" s="57">
        <f>S6/MC_sim!$C$12</f>
        <v>0</v>
      </c>
      <c r="V6" t="s">
        <v>76</v>
      </c>
      <c r="W6">
        <f>10^LEN(ROUND(W4,0))</f>
        <v>100</v>
      </c>
      <c r="X6">
        <f t="shared" si="10"/>
        <v>5</v>
      </c>
      <c r="Y6">
        <f t="shared" si="11"/>
        <v>-84</v>
      </c>
      <c r="Z6">
        <f t="shared" si="3"/>
        <v>0</v>
      </c>
      <c r="AA6" s="57">
        <f>Z6/MC_sim!$C$12</f>
        <v>0</v>
      </c>
      <c r="AC6" t="s">
        <v>76</v>
      </c>
      <c r="AD6" t="e">
        <f>10^LEN(ROUND(AD4,0))</f>
        <v>#N/A</v>
      </c>
      <c r="AE6">
        <f t="shared" si="12"/>
        <v>5</v>
      </c>
      <c r="AF6" t="e">
        <f t="shared" si="13"/>
        <v>#N/A</v>
      </c>
      <c r="AG6" t="e" cm="1">
        <f t="array" ref="AG6">COUNTIFS(DPP_data_data,"&gt;"&amp;AF6,DPP_data,"&lt;="&amp;AF7)</f>
        <v>#NAME?</v>
      </c>
      <c r="AH6" s="57" t="e">
        <f>AG6/MC_sim!$C$12</f>
        <v>#NAME?</v>
      </c>
    </row>
    <row r="7" spans="1:34" x14ac:dyDescent="0.2">
      <c r="C7">
        <f t="shared" si="4"/>
        <v>6</v>
      </c>
      <c r="D7">
        <f t="shared" si="5"/>
        <v>1000000</v>
      </c>
      <c r="E7" s="44">
        <f t="shared" si="0"/>
        <v>0</v>
      </c>
      <c r="F7" s="60">
        <f>E7/MC_sim!$C$12</f>
        <v>0</v>
      </c>
      <c r="H7" t="s">
        <v>77</v>
      </c>
      <c r="I7" s="85">
        <f>-IF(I3&lt;0,ROUNDDOWN(I3/$I$6,0)*$I$6,ROUNDUP(I3/$I$6,0)*$I$6)</f>
        <v>-10</v>
      </c>
      <c r="J7">
        <f t="shared" si="6"/>
        <v>6</v>
      </c>
      <c r="K7">
        <f t="shared" si="7"/>
        <v>-7.9999999999999982</v>
      </c>
      <c r="L7" s="44">
        <f t="shared" si="1"/>
        <v>0</v>
      </c>
      <c r="M7" s="57">
        <f>L7/MC_sim!$C$12</f>
        <v>0</v>
      </c>
      <c r="N7" s="57"/>
      <c r="O7" t="s">
        <v>77</v>
      </c>
      <c r="P7">
        <f>-IF(P3&lt;0,ROUNDDOWN(P3/$P$6,0)*$P$6,ROUNDUP(P3/$P$6,0)*$P$6)</f>
        <v>-10</v>
      </c>
      <c r="Q7">
        <f t="shared" si="8"/>
        <v>6</v>
      </c>
      <c r="R7">
        <f t="shared" si="9"/>
        <v>-7.9999999999999982</v>
      </c>
      <c r="S7">
        <f t="shared" si="2"/>
        <v>0</v>
      </c>
      <c r="T7" s="57">
        <f>S7/MC_sim!$C$12</f>
        <v>0</v>
      </c>
      <c r="V7" t="s">
        <v>77</v>
      </c>
      <c r="W7">
        <f>-IF(W3&lt;0,ROUNDDOWN(W3/$W$6,0)*$W$6,ROUNDUP(W3/$W$6,0)*$W$6)</f>
        <v>-100</v>
      </c>
      <c r="X7">
        <f t="shared" si="10"/>
        <v>6</v>
      </c>
      <c r="Y7">
        <f t="shared" si="11"/>
        <v>-80</v>
      </c>
      <c r="Z7">
        <f t="shared" si="3"/>
        <v>0</v>
      </c>
      <c r="AA7" s="57">
        <f>Z7/MC_sim!$C$12</f>
        <v>0</v>
      </c>
      <c r="AC7" t="s">
        <v>77</v>
      </c>
      <c r="AD7" t="e">
        <f>-IF(AD3&lt;0,ROUNDDOWN(AD3/$AD$6,0)*$AD$6,ROUNDUP(AD3/$AD$6,0)*$AD$6)</f>
        <v>#N/A</v>
      </c>
      <c r="AE7">
        <f t="shared" si="12"/>
        <v>6</v>
      </c>
      <c r="AF7" t="e">
        <f t="shared" si="13"/>
        <v>#N/A</v>
      </c>
      <c r="AG7" t="e" cm="1">
        <f t="array" ref="AG7">COUNTIFS(DPP_data_data,"&gt;"&amp;AF7,DPP_data,"&lt;="&amp;AF8)</f>
        <v>#NAME?</v>
      </c>
      <c r="AH7" s="57" t="e">
        <f>AG7/MC_sim!$C$12</f>
        <v>#NAME?</v>
      </c>
    </row>
    <row r="8" spans="1:34" x14ac:dyDescent="0.2">
      <c r="A8" t="s">
        <v>77</v>
      </c>
      <c r="B8">
        <f>IF(B3&lt;0,ROUNDDOWN(B3/$B$6,0)*$B$6,ROUNDUP(B3/$B$6,0)*$B$6)</f>
        <v>0</v>
      </c>
      <c r="C8">
        <f t="shared" si="4"/>
        <v>7</v>
      </c>
      <c r="D8">
        <f t="shared" si="5"/>
        <v>1200000</v>
      </c>
      <c r="E8" s="44">
        <f t="shared" si="0"/>
        <v>0</v>
      </c>
      <c r="F8" s="60">
        <f>E8/MC_sim!$C$12</f>
        <v>0</v>
      </c>
      <c r="H8" t="s">
        <v>78</v>
      </c>
      <c r="I8">
        <f>IF(I4&lt;0,ROUNDDOWN(I4/$I$6,0)*$I$6,ROUNDUP(I4/$I$6,0)*$I$6)</f>
        <v>10</v>
      </c>
      <c r="J8">
        <f t="shared" si="6"/>
        <v>7</v>
      </c>
      <c r="K8">
        <f t="shared" si="7"/>
        <v>-7.5999999999999979</v>
      </c>
      <c r="L8" s="44">
        <f t="shared" si="1"/>
        <v>0</v>
      </c>
      <c r="M8" s="57">
        <f>L8/MC_sim!$C$12</f>
        <v>0</v>
      </c>
      <c r="N8" s="57"/>
      <c r="O8" t="s">
        <v>78</v>
      </c>
      <c r="P8">
        <f>IF(P4&lt;0,ROUNDDOWN(P4/$P$6,0)*$P$6,ROUNDUP(P4/$P$6,0)*$P$6)</f>
        <v>10</v>
      </c>
      <c r="Q8">
        <f t="shared" si="8"/>
        <v>7</v>
      </c>
      <c r="R8">
        <f t="shared" si="9"/>
        <v>-7.5999999999999979</v>
      </c>
      <c r="S8">
        <f t="shared" si="2"/>
        <v>0</v>
      </c>
      <c r="T8" s="57">
        <f>S8/MC_sim!$C$12</f>
        <v>0</v>
      </c>
      <c r="V8" t="s">
        <v>78</v>
      </c>
      <c r="W8">
        <f>IF(W4&lt;0,ROUNDDOWN(W4/$W$6,0)*$W$6,ROUNDUP(W4/$W$6,0)*$W$6)</f>
        <v>100</v>
      </c>
      <c r="X8">
        <f t="shared" si="10"/>
        <v>7</v>
      </c>
      <c r="Y8">
        <f t="shared" si="11"/>
        <v>-76</v>
      </c>
      <c r="Z8">
        <f t="shared" si="3"/>
        <v>0</v>
      </c>
      <c r="AA8" s="57">
        <f>Z8/MC_sim!$C$12</f>
        <v>0</v>
      </c>
      <c r="AC8" t="s">
        <v>78</v>
      </c>
      <c r="AD8" t="e">
        <f>IF(AD4&lt;0,ROUNDDOWN(AD4/$AD$6,0)*$AD$6,ROUNDUP(AD4/$AD$6,0)*$AD$6)</f>
        <v>#N/A</v>
      </c>
      <c r="AE8">
        <f t="shared" si="12"/>
        <v>7</v>
      </c>
      <c r="AF8" t="e">
        <f t="shared" si="13"/>
        <v>#N/A</v>
      </c>
      <c r="AG8" t="e" cm="1">
        <f t="array" ref="AG8">COUNTIFS(DPP_data_data,"&gt;"&amp;AF8,DPP_data,"&lt;="&amp;AF9)</f>
        <v>#NAME?</v>
      </c>
      <c r="AH8" s="57" t="e">
        <f>AG8/MC_sim!$C$12</f>
        <v>#NAME?</v>
      </c>
    </row>
    <row r="9" spans="1:34" x14ac:dyDescent="0.2">
      <c r="A9" t="s">
        <v>78</v>
      </c>
      <c r="B9">
        <f>IF(B4&lt;0,ROUNDDOWN(B4/$B$6,0)*$B$6,ROUNDUP(B4/$B$6,0)*$B$6)</f>
        <v>10000000</v>
      </c>
      <c r="C9">
        <f t="shared" si="4"/>
        <v>8</v>
      </c>
      <c r="D9">
        <f t="shared" si="5"/>
        <v>1400000</v>
      </c>
      <c r="E9" s="44">
        <f t="shared" si="0"/>
        <v>0</v>
      </c>
      <c r="F9" s="60">
        <f>E9/MC_sim!$C$12</f>
        <v>0</v>
      </c>
      <c r="H9" t="s">
        <v>75</v>
      </c>
      <c r="I9">
        <f>I8-I7</f>
        <v>20</v>
      </c>
      <c r="J9">
        <f t="shared" si="6"/>
        <v>8</v>
      </c>
      <c r="K9">
        <f t="shared" si="7"/>
        <v>-7.1999999999999975</v>
      </c>
      <c r="L9" s="44">
        <f t="shared" si="1"/>
        <v>0</v>
      </c>
      <c r="M9" s="57">
        <f>L9/MC_sim!$C$12</f>
        <v>0</v>
      </c>
      <c r="N9" s="57"/>
      <c r="O9" t="s">
        <v>75</v>
      </c>
      <c r="P9">
        <f>P8-P7</f>
        <v>20</v>
      </c>
      <c r="Q9">
        <f t="shared" si="8"/>
        <v>8</v>
      </c>
      <c r="R9">
        <f t="shared" si="9"/>
        <v>-7.1999999999999975</v>
      </c>
      <c r="S9">
        <f t="shared" si="2"/>
        <v>0</v>
      </c>
      <c r="T9" s="57">
        <f>S9/MC_sim!$C$12</f>
        <v>0</v>
      </c>
      <c r="V9" t="s">
        <v>75</v>
      </c>
      <c r="W9">
        <f>W8-W7</f>
        <v>200</v>
      </c>
      <c r="X9">
        <f t="shared" si="10"/>
        <v>8</v>
      </c>
      <c r="Y9">
        <f t="shared" si="11"/>
        <v>-72</v>
      </c>
      <c r="Z9">
        <f t="shared" si="3"/>
        <v>0</v>
      </c>
      <c r="AA9" s="57">
        <f>Z9/MC_sim!$C$12</f>
        <v>0</v>
      </c>
      <c r="AC9" t="s">
        <v>75</v>
      </c>
      <c r="AD9" t="e">
        <f>AD8-AD7</f>
        <v>#N/A</v>
      </c>
      <c r="AE9">
        <f t="shared" si="12"/>
        <v>8</v>
      </c>
      <c r="AF9" t="e">
        <f t="shared" si="13"/>
        <v>#N/A</v>
      </c>
      <c r="AG9" t="e" cm="1">
        <f t="array" ref="AG9">COUNTIFS(DPP_data_data,"&gt;"&amp;AF9,DPP_data,"&lt;="&amp;AF10)</f>
        <v>#NAME?</v>
      </c>
      <c r="AH9" s="57" t="e">
        <f>AG9/MC_sim!$C$12</f>
        <v>#NAME?</v>
      </c>
    </row>
    <row r="10" spans="1:34" x14ac:dyDescent="0.2">
      <c r="A10" t="s">
        <v>75</v>
      </c>
      <c r="B10">
        <f>B9-B8</f>
        <v>10000000</v>
      </c>
      <c r="C10">
        <f t="shared" si="4"/>
        <v>9</v>
      </c>
      <c r="D10">
        <f t="shared" si="5"/>
        <v>1600000</v>
      </c>
      <c r="E10" s="44">
        <f t="shared" si="0"/>
        <v>0</v>
      </c>
      <c r="F10" s="60">
        <f>E10/MC_sim!$C$12</f>
        <v>0</v>
      </c>
      <c r="J10">
        <f t="shared" si="6"/>
        <v>9</v>
      </c>
      <c r="K10">
        <f t="shared" si="7"/>
        <v>-6.7999999999999972</v>
      </c>
      <c r="L10" s="44">
        <f t="shared" si="1"/>
        <v>0</v>
      </c>
      <c r="M10" s="57">
        <f>L10/MC_sim!$C$12</f>
        <v>0</v>
      </c>
      <c r="N10" s="57"/>
      <c r="Q10">
        <f t="shared" si="8"/>
        <v>9</v>
      </c>
      <c r="R10">
        <f t="shared" si="9"/>
        <v>-6.7999999999999972</v>
      </c>
      <c r="S10">
        <f t="shared" si="2"/>
        <v>0</v>
      </c>
      <c r="T10" s="57">
        <f>S10/MC_sim!$C$12</f>
        <v>0</v>
      </c>
      <c r="X10">
        <f t="shared" si="10"/>
        <v>9</v>
      </c>
      <c r="Y10">
        <f t="shared" si="11"/>
        <v>-68</v>
      </c>
      <c r="Z10">
        <f t="shared" si="3"/>
        <v>0</v>
      </c>
      <c r="AA10" s="57">
        <f>Z10/MC_sim!$C$12</f>
        <v>0</v>
      </c>
      <c r="AE10">
        <f t="shared" si="12"/>
        <v>9</v>
      </c>
      <c r="AF10" t="e">
        <f t="shared" si="13"/>
        <v>#N/A</v>
      </c>
      <c r="AG10" t="e" cm="1">
        <f t="array" ref="AG10">COUNTIFS(DPP_data_data,"&gt;"&amp;AF10,DPP_data,"&lt;="&amp;AF11)</f>
        <v>#NAME?</v>
      </c>
      <c r="AH10" s="57" t="e">
        <f>AG10/MC_sim!$C$12</f>
        <v>#NAME?</v>
      </c>
    </row>
    <row r="11" spans="1:34" x14ac:dyDescent="0.2">
      <c r="C11">
        <f t="shared" si="4"/>
        <v>10</v>
      </c>
      <c r="D11">
        <f t="shared" si="5"/>
        <v>1800000</v>
      </c>
      <c r="E11" s="44">
        <f t="shared" si="0"/>
        <v>0</v>
      </c>
      <c r="F11" s="60">
        <f>E11/MC_sim!$C$12</f>
        <v>0</v>
      </c>
      <c r="H11" t="s">
        <v>79</v>
      </c>
      <c r="I11">
        <v>50</v>
      </c>
      <c r="J11">
        <f t="shared" si="6"/>
        <v>10</v>
      </c>
      <c r="K11">
        <f t="shared" si="7"/>
        <v>-6.3999999999999968</v>
      </c>
      <c r="L11" s="44">
        <f t="shared" si="1"/>
        <v>0</v>
      </c>
      <c r="M11" s="57">
        <f>L11/MC_sim!$C$12</f>
        <v>0</v>
      </c>
      <c r="N11" s="57"/>
      <c r="O11" t="s">
        <v>79</v>
      </c>
      <c r="P11">
        <v>50</v>
      </c>
      <c r="Q11">
        <f t="shared" si="8"/>
        <v>10</v>
      </c>
      <c r="R11">
        <f t="shared" si="9"/>
        <v>-6.3999999999999968</v>
      </c>
      <c r="S11">
        <f t="shared" si="2"/>
        <v>0</v>
      </c>
      <c r="T11" s="57">
        <f>S11/MC_sim!$C$12</f>
        <v>0</v>
      </c>
      <c r="V11" t="s">
        <v>79</v>
      </c>
      <c r="W11">
        <v>50</v>
      </c>
      <c r="X11">
        <f t="shared" si="10"/>
        <v>10</v>
      </c>
      <c r="Y11">
        <f t="shared" si="11"/>
        <v>-64</v>
      </c>
      <c r="Z11">
        <f t="shared" si="3"/>
        <v>0</v>
      </c>
      <c r="AA11" s="57">
        <f>Z11/MC_sim!$C$12</f>
        <v>0</v>
      </c>
      <c r="AC11" t="s">
        <v>79</v>
      </c>
      <c r="AD11">
        <v>50</v>
      </c>
      <c r="AE11">
        <f t="shared" si="12"/>
        <v>10</v>
      </c>
      <c r="AF11" t="e">
        <f t="shared" si="13"/>
        <v>#N/A</v>
      </c>
      <c r="AG11" t="e" cm="1">
        <f t="array" ref="AG11">COUNTIFS(DPP_data_data,"&gt;"&amp;AF11,DPP_data,"&lt;="&amp;AF12)</f>
        <v>#NAME?</v>
      </c>
      <c r="AH11" s="57" t="e">
        <f>AG11/MC_sim!$C$12</f>
        <v>#NAME?</v>
      </c>
    </row>
    <row r="12" spans="1:34" x14ac:dyDescent="0.2">
      <c r="A12" t="s">
        <v>79</v>
      </c>
      <c r="B12">
        <v>50</v>
      </c>
      <c r="C12">
        <f t="shared" si="4"/>
        <v>11</v>
      </c>
      <c r="D12">
        <f t="shared" si="5"/>
        <v>2000000</v>
      </c>
      <c r="E12" s="44">
        <f t="shared" si="0"/>
        <v>0</v>
      </c>
      <c r="F12" s="60">
        <f>E12/MC_sim!$C$12</f>
        <v>0</v>
      </c>
      <c r="J12">
        <f t="shared" si="6"/>
        <v>11</v>
      </c>
      <c r="K12">
        <f t="shared" si="7"/>
        <v>-5.9999999999999964</v>
      </c>
      <c r="L12" s="44">
        <f t="shared" si="1"/>
        <v>0</v>
      </c>
      <c r="M12" s="57">
        <f>L12/MC_sim!$C$12</f>
        <v>0</v>
      </c>
      <c r="N12" s="57"/>
      <c r="Q12">
        <f t="shared" si="8"/>
        <v>11</v>
      </c>
      <c r="R12">
        <f t="shared" si="9"/>
        <v>-5.9999999999999964</v>
      </c>
      <c r="S12">
        <f t="shared" si="2"/>
        <v>0</v>
      </c>
      <c r="T12" s="57">
        <f>S12/MC_sim!$C$12</f>
        <v>0</v>
      </c>
      <c r="X12">
        <f t="shared" si="10"/>
        <v>11</v>
      </c>
      <c r="Y12">
        <f t="shared" si="11"/>
        <v>-60</v>
      </c>
      <c r="Z12">
        <f t="shared" si="3"/>
        <v>0</v>
      </c>
      <c r="AA12" s="57">
        <f>Z12/MC_sim!$C$12</f>
        <v>0</v>
      </c>
      <c r="AE12">
        <f t="shared" si="12"/>
        <v>11</v>
      </c>
      <c r="AF12" t="e">
        <f t="shared" si="13"/>
        <v>#N/A</v>
      </c>
      <c r="AG12" t="e" cm="1">
        <f t="array" ref="AG12">COUNTIFS(DPP_data_data,"&gt;"&amp;AF12,DPP_data,"&lt;="&amp;AF13)</f>
        <v>#NAME?</v>
      </c>
      <c r="AH12" s="57" t="e">
        <f>AG12/MC_sim!$C$12</f>
        <v>#NAME?</v>
      </c>
    </row>
    <row r="13" spans="1:34" x14ac:dyDescent="0.2">
      <c r="C13">
        <f t="shared" si="4"/>
        <v>12</v>
      </c>
      <c r="D13">
        <f t="shared" si="5"/>
        <v>2200000</v>
      </c>
      <c r="E13" s="44">
        <f t="shared" si="0"/>
        <v>0</v>
      </c>
      <c r="F13" s="60">
        <f>E13/MC_sim!$C$12</f>
        <v>0</v>
      </c>
      <c r="J13">
        <f t="shared" si="6"/>
        <v>12</v>
      </c>
      <c r="K13">
        <f t="shared" si="7"/>
        <v>-5.5999999999999961</v>
      </c>
      <c r="L13" s="44">
        <f t="shared" si="1"/>
        <v>0</v>
      </c>
      <c r="M13" s="57">
        <f>L13/MC_sim!$C$12</f>
        <v>0</v>
      </c>
      <c r="N13" s="57"/>
      <c r="Q13">
        <f t="shared" si="8"/>
        <v>12</v>
      </c>
      <c r="R13">
        <f t="shared" si="9"/>
        <v>-5.5999999999999961</v>
      </c>
      <c r="S13">
        <f t="shared" si="2"/>
        <v>0</v>
      </c>
      <c r="T13" s="57">
        <f>S13/MC_sim!$C$12</f>
        <v>0</v>
      </c>
      <c r="X13">
        <f t="shared" si="10"/>
        <v>12</v>
      </c>
      <c r="Y13">
        <f t="shared" si="11"/>
        <v>-56</v>
      </c>
      <c r="Z13">
        <f t="shared" si="3"/>
        <v>0</v>
      </c>
      <c r="AA13" s="57">
        <f>Z13/MC_sim!$C$12</f>
        <v>0</v>
      </c>
      <c r="AE13">
        <f t="shared" si="12"/>
        <v>12</v>
      </c>
      <c r="AF13" t="e">
        <f t="shared" si="13"/>
        <v>#N/A</v>
      </c>
      <c r="AG13" t="e" cm="1">
        <f t="array" ref="AG13">COUNTIFS(DPP_data_data,"&gt;"&amp;AF13,DPP_data,"&lt;="&amp;AF14)</f>
        <v>#NAME?</v>
      </c>
      <c r="AH13" s="57" t="e">
        <f>AG13/MC_sim!$C$12</f>
        <v>#NAME?</v>
      </c>
    </row>
    <row r="14" spans="1:34" x14ac:dyDescent="0.2">
      <c r="C14">
        <f t="shared" si="4"/>
        <v>13</v>
      </c>
      <c r="D14">
        <f t="shared" si="5"/>
        <v>2400000</v>
      </c>
      <c r="E14" s="44">
        <f t="shared" si="0"/>
        <v>1</v>
      </c>
      <c r="F14" s="60">
        <f>E14/MC_sim!$C$12</f>
        <v>6.6666666666666666E-2</v>
      </c>
      <c r="J14">
        <f t="shared" si="6"/>
        <v>13</v>
      </c>
      <c r="K14">
        <f t="shared" si="7"/>
        <v>-5.1999999999999957</v>
      </c>
      <c r="L14" s="44">
        <f t="shared" si="1"/>
        <v>0</v>
      </c>
      <c r="M14" s="57">
        <f>L14/MC_sim!$C$12</f>
        <v>0</v>
      </c>
      <c r="N14" s="57"/>
      <c r="Q14">
        <f t="shared" si="8"/>
        <v>13</v>
      </c>
      <c r="R14">
        <f t="shared" si="9"/>
        <v>-5.1999999999999957</v>
      </c>
      <c r="S14">
        <f t="shared" si="2"/>
        <v>0</v>
      </c>
      <c r="T14" s="57">
        <f>S14/MC_sim!$C$12</f>
        <v>0</v>
      </c>
      <c r="X14">
        <f t="shared" si="10"/>
        <v>13</v>
      </c>
      <c r="Y14">
        <f t="shared" si="11"/>
        <v>-52</v>
      </c>
      <c r="Z14">
        <f t="shared" si="3"/>
        <v>0</v>
      </c>
      <c r="AA14" s="57">
        <f>Z14/MC_sim!$C$12</f>
        <v>0</v>
      </c>
      <c r="AE14">
        <f t="shared" si="12"/>
        <v>13</v>
      </c>
      <c r="AF14" t="e">
        <f t="shared" si="13"/>
        <v>#N/A</v>
      </c>
      <c r="AG14" t="e" cm="1">
        <f t="array" ref="AG14">COUNTIFS(DPP_data_data,"&gt;"&amp;AF14,DPP_data,"&lt;="&amp;AF15)</f>
        <v>#NAME?</v>
      </c>
      <c r="AH14" s="57" t="e">
        <f>AG14/MC_sim!$C$12</f>
        <v>#NAME?</v>
      </c>
    </row>
    <row r="15" spans="1:34" x14ac:dyDescent="0.2">
      <c r="C15">
        <f t="shared" si="4"/>
        <v>14</v>
      </c>
      <c r="D15">
        <f t="shared" si="5"/>
        <v>2600000</v>
      </c>
      <c r="E15" s="44">
        <f t="shared" si="0"/>
        <v>0</v>
      </c>
      <c r="F15" s="60">
        <f>E15/MC_sim!$C$12</f>
        <v>0</v>
      </c>
      <c r="J15">
        <f t="shared" si="6"/>
        <v>14</v>
      </c>
      <c r="K15">
        <f t="shared" si="7"/>
        <v>-4.7999999999999954</v>
      </c>
      <c r="L15" s="44">
        <f t="shared" si="1"/>
        <v>0</v>
      </c>
      <c r="M15" s="57">
        <f>L15/MC_sim!$C$12</f>
        <v>0</v>
      </c>
      <c r="N15" s="57"/>
      <c r="Q15">
        <f t="shared" si="8"/>
        <v>14</v>
      </c>
      <c r="R15">
        <f t="shared" si="9"/>
        <v>-4.7999999999999954</v>
      </c>
      <c r="S15">
        <f t="shared" si="2"/>
        <v>0</v>
      </c>
      <c r="T15" s="57">
        <f>S15/MC_sim!$C$12</f>
        <v>0</v>
      </c>
      <c r="X15">
        <f t="shared" si="10"/>
        <v>14</v>
      </c>
      <c r="Y15">
        <f t="shared" si="11"/>
        <v>-48</v>
      </c>
      <c r="Z15">
        <f t="shared" si="3"/>
        <v>0</v>
      </c>
      <c r="AA15" s="57">
        <f>Z15/MC_sim!$C$12</f>
        <v>0</v>
      </c>
      <c r="AE15">
        <f t="shared" si="12"/>
        <v>14</v>
      </c>
      <c r="AF15" t="e">
        <f t="shared" si="13"/>
        <v>#N/A</v>
      </c>
      <c r="AG15" t="e" cm="1">
        <f t="array" ref="AG15">COUNTIFS(DPP_data_data,"&gt;"&amp;AF15,DPP_data,"&lt;="&amp;AF16)</f>
        <v>#NAME?</v>
      </c>
      <c r="AH15" s="57" t="e">
        <f>AG15/MC_sim!$C$12</f>
        <v>#NAME?</v>
      </c>
    </row>
    <row r="16" spans="1:34" x14ac:dyDescent="0.2">
      <c r="C16">
        <f t="shared" si="4"/>
        <v>15</v>
      </c>
      <c r="D16">
        <f t="shared" si="5"/>
        <v>2800000</v>
      </c>
      <c r="E16" s="44">
        <f t="shared" si="0"/>
        <v>0</v>
      </c>
      <c r="F16" s="60">
        <f>E16/MC_sim!$C$12</f>
        <v>0</v>
      </c>
      <c r="J16">
        <f t="shared" si="6"/>
        <v>15</v>
      </c>
      <c r="K16">
        <f t="shared" si="7"/>
        <v>-4.399999999999995</v>
      </c>
      <c r="L16" s="44">
        <f t="shared" si="1"/>
        <v>0</v>
      </c>
      <c r="M16" s="57">
        <f>L16/MC_sim!$C$12</f>
        <v>0</v>
      </c>
      <c r="N16" s="57"/>
      <c r="Q16">
        <f t="shared" si="8"/>
        <v>15</v>
      </c>
      <c r="R16">
        <f t="shared" si="9"/>
        <v>-4.399999999999995</v>
      </c>
      <c r="S16">
        <f t="shared" si="2"/>
        <v>0</v>
      </c>
      <c r="T16" s="57">
        <f>S16/MC_sim!$C$12</f>
        <v>0</v>
      </c>
      <c r="X16">
        <f t="shared" si="10"/>
        <v>15</v>
      </c>
      <c r="Y16">
        <f t="shared" si="11"/>
        <v>-44</v>
      </c>
      <c r="Z16">
        <f t="shared" si="3"/>
        <v>0</v>
      </c>
      <c r="AA16" s="57">
        <f>Z16/MC_sim!$C$12</f>
        <v>0</v>
      </c>
      <c r="AE16">
        <f t="shared" si="12"/>
        <v>15</v>
      </c>
      <c r="AF16" t="e">
        <f t="shared" si="13"/>
        <v>#N/A</v>
      </c>
      <c r="AG16" t="e" cm="1">
        <f t="array" ref="AG16">COUNTIFS(DPP_data_data,"&gt;"&amp;AF16,DPP_data,"&lt;="&amp;AF17)</f>
        <v>#NAME?</v>
      </c>
      <c r="AH16" s="57" t="e">
        <f>AG16/MC_sim!$C$12</f>
        <v>#NAME?</v>
      </c>
    </row>
    <row r="17" spans="3:34" x14ac:dyDescent="0.2">
      <c r="C17">
        <f t="shared" si="4"/>
        <v>16</v>
      </c>
      <c r="D17">
        <f t="shared" si="5"/>
        <v>3000000</v>
      </c>
      <c r="E17" s="44">
        <f t="shared" si="0"/>
        <v>0</v>
      </c>
      <c r="F17" s="60">
        <f>E17/MC_sim!$C$12</f>
        <v>0</v>
      </c>
      <c r="J17">
        <f t="shared" si="6"/>
        <v>16</v>
      </c>
      <c r="K17">
        <f t="shared" si="7"/>
        <v>-3.9999999999999951</v>
      </c>
      <c r="L17" s="44">
        <f t="shared" si="1"/>
        <v>0</v>
      </c>
      <c r="M17" s="57">
        <f>L17/MC_sim!$C$12</f>
        <v>0</v>
      </c>
      <c r="N17" s="57"/>
      <c r="Q17">
        <f t="shared" si="8"/>
        <v>16</v>
      </c>
      <c r="R17">
        <f t="shared" si="9"/>
        <v>-3.9999999999999951</v>
      </c>
      <c r="S17">
        <f t="shared" si="2"/>
        <v>0</v>
      </c>
      <c r="T17" s="57">
        <f>S17/MC_sim!$C$12</f>
        <v>0</v>
      </c>
      <c r="X17">
        <f t="shared" si="10"/>
        <v>16</v>
      </c>
      <c r="Y17">
        <f t="shared" si="11"/>
        <v>-40</v>
      </c>
      <c r="Z17">
        <f t="shared" si="3"/>
        <v>0</v>
      </c>
      <c r="AA17" s="57">
        <f>Z17/MC_sim!$C$12</f>
        <v>0</v>
      </c>
      <c r="AE17">
        <f t="shared" si="12"/>
        <v>16</v>
      </c>
      <c r="AF17" t="e">
        <f t="shared" si="13"/>
        <v>#N/A</v>
      </c>
      <c r="AG17" t="e" cm="1">
        <f t="array" ref="AG17">COUNTIFS(DPP_data_data,"&gt;"&amp;AF17,DPP_data,"&lt;="&amp;AF18)</f>
        <v>#NAME?</v>
      </c>
      <c r="AH17" s="57" t="e">
        <f>AG17/MC_sim!$C$12</f>
        <v>#NAME?</v>
      </c>
    </row>
    <row r="18" spans="3:34" x14ac:dyDescent="0.2">
      <c r="C18">
        <f t="shared" si="4"/>
        <v>17</v>
      </c>
      <c r="D18">
        <f t="shared" si="5"/>
        <v>3200000</v>
      </c>
      <c r="E18" s="44">
        <f t="shared" si="0"/>
        <v>0</v>
      </c>
      <c r="F18" s="60">
        <f>E18/MC_sim!$C$12</f>
        <v>0</v>
      </c>
      <c r="J18">
        <f t="shared" si="6"/>
        <v>17</v>
      </c>
      <c r="K18">
        <f t="shared" si="7"/>
        <v>-3.5999999999999952</v>
      </c>
      <c r="L18" s="44">
        <f t="shared" si="1"/>
        <v>0</v>
      </c>
      <c r="M18" s="57">
        <f>L18/MC_sim!$C$12</f>
        <v>0</v>
      </c>
      <c r="N18" s="57"/>
      <c r="Q18">
        <f t="shared" si="8"/>
        <v>17</v>
      </c>
      <c r="R18">
        <f t="shared" si="9"/>
        <v>-3.5999999999999952</v>
      </c>
      <c r="S18">
        <f t="shared" si="2"/>
        <v>0</v>
      </c>
      <c r="T18" s="57">
        <f>S18/MC_sim!$C$12</f>
        <v>0</v>
      </c>
      <c r="X18">
        <f t="shared" si="10"/>
        <v>17</v>
      </c>
      <c r="Y18">
        <f t="shared" si="11"/>
        <v>-36</v>
      </c>
      <c r="Z18">
        <f t="shared" si="3"/>
        <v>0</v>
      </c>
      <c r="AA18" s="57">
        <f>Z18/MC_sim!$C$12</f>
        <v>0</v>
      </c>
      <c r="AE18">
        <f t="shared" si="12"/>
        <v>17</v>
      </c>
      <c r="AF18" t="e">
        <f t="shared" si="13"/>
        <v>#N/A</v>
      </c>
      <c r="AG18" t="e" cm="1">
        <f t="array" ref="AG18">COUNTIFS(DPP_data_data,"&gt;"&amp;AF18,DPP_data,"&lt;="&amp;AF19)</f>
        <v>#NAME?</v>
      </c>
      <c r="AH18" s="57" t="e">
        <f>AG18/MC_sim!$C$12</f>
        <v>#NAME?</v>
      </c>
    </row>
    <row r="19" spans="3:34" x14ac:dyDescent="0.2">
      <c r="C19">
        <f t="shared" si="4"/>
        <v>18</v>
      </c>
      <c r="D19">
        <f t="shared" si="5"/>
        <v>3400000</v>
      </c>
      <c r="E19" s="44">
        <f t="shared" si="0"/>
        <v>0</v>
      </c>
      <c r="F19" s="60">
        <f>E19/MC_sim!$C$12</f>
        <v>0</v>
      </c>
      <c r="J19">
        <f t="shared" si="6"/>
        <v>18</v>
      </c>
      <c r="K19">
        <f t="shared" si="7"/>
        <v>-3.1999999999999953</v>
      </c>
      <c r="L19" s="44">
        <f t="shared" si="1"/>
        <v>0</v>
      </c>
      <c r="M19" s="57">
        <f>L19/MC_sim!$C$12</f>
        <v>0</v>
      </c>
      <c r="N19" s="57"/>
      <c r="Q19">
        <f t="shared" si="8"/>
        <v>18</v>
      </c>
      <c r="R19">
        <f t="shared" si="9"/>
        <v>-3.1999999999999953</v>
      </c>
      <c r="S19">
        <f t="shared" si="2"/>
        <v>0</v>
      </c>
      <c r="T19" s="57">
        <f>S19/MC_sim!$C$12</f>
        <v>0</v>
      </c>
      <c r="X19">
        <f t="shared" si="10"/>
        <v>18</v>
      </c>
      <c r="Y19">
        <f t="shared" si="11"/>
        <v>-32</v>
      </c>
      <c r="Z19">
        <f t="shared" si="3"/>
        <v>0</v>
      </c>
      <c r="AA19" s="57">
        <f>Z19/MC_sim!$C$12</f>
        <v>0</v>
      </c>
      <c r="AE19">
        <f t="shared" si="12"/>
        <v>18</v>
      </c>
      <c r="AF19" t="e">
        <f t="shared" si="13"/>
        <v>#N/A</v>
      </c>
      <c r="AG19" t="e" cm="1">
        <f t="array" ref="AG19">COUNTIFS(DPP_data_data,"&gt;"&amp;AF19,DPP_data,"&lt;="&amp;AF20)</f>
        <v>#NAME?</v>
      </c>
      <c r="AH19" s="57" t="e">
        <f>AG19/MC_sim!$C$12</f>
        <v>#NAME?</v>
      </c>
    </row>
    <row r="20" spans="3:34" x14ac:dyDescent="0.2">
      <c r="C20">
        <f t="shared" si="4"/>
        <v>19</v>
      </c>
      <c r="D20">
        <f t="shared" si="5"/>
        <v>3600000</v>
      </c>
      <c r="E20" s="44">
        <f t="shared" si="0"/>
        <v>0</v>
      </c>
      <c r="F20" s="60">
        <f>E20/MC_sim!$C$12</f>
        <v>0</v>
      </c>
      <c r="J20">
        <f t="shared" si="6"/>
        <v>19</v>
      </c>
      <c r="K20">
        <f t="shared" si="7"/>
        <v>-2.7999999999999954</v>
      </c>
      <c r="L20" s="44">
        <f t="shared" si="1"/>
        <v>0</v>
      </c>
      <c r="M20" s="57">
        <f>L20/MC_sim!$C$12</f>
        <v>0</v>
      </c>
      <c r="N20" s="57"/>
      <c r="Q20">
        <f t="shared" si="8"/>
        <v>19</v>
      </c>
      <c r="R20">
        <f t="shared" si="9"/>
        <v>-2.7999999999999954</v>
      </c>
      <c r="S20">
        <f t="shared" si="2"/>
        <v>0</v>
      </c>
      <c r="T20" s="57">
        <f>S20/MC_sim!$C$12</f>
        <v>0</v>
      </c>
      <c r="X20">
        <f t="shared" si="10"/>
        <v>19</v>
      </c>
      <c r="Y20">
        <f t="shared" si="11"/>
        <v>-28</v>
      </c>
      <c r="Z20">
        <f t="shared" si="3"/>
        <v>0</v>
      </c>
      <c r="AA20" s="57">
        <f>Z20/MC_sim!$C$12</f>
        <v>0</v>
      </c>
      <c r="AE20">
        <f t="shared" si="12"/>
        <v>19</v>
      </c>
      <c r="AF20" t="e">
        <f t="shared" si="13"/>
        <v>#N/A</v>
      </c>
      <c r="AG20" t="e" cm="1">
        <f t="array" ref="AG20">COUNTIFS(DPP_data_data,"&gt;"&amp;AF20,DPP_data,"&lt;="&amp;AF21)</f>
        <v>#NAME?</v>
      </c>
      <c r="AH20" s="57" t="e">
        <f>AG20/MC_sim!$C$12</f>
        <v>#NAME?</v>
      </c>
    </row>
    <row r="21" spans="3:34" x14ac:dyDescent="0.2">
      <c r="C21">
        <f t="shared" si="4"/>
        <v>20</v>
      </c>
      <c r="D21">
        <f t="shared" si="5"/>
        <v>3800000</v>
      </c>
      <c r="E21" s="44">
        <f t="shared" si="0"/>
        <v>0</v>
      </c>
      <c r="F21" s="60">
        <f>E21/MC_sim!$C$12</f>
        <v>0</v>
      </c>
      <c r="J21">
        <f t="shared" si="6"/>
        <v>20</v>
      </c>
      <c r="K21">
        <f t="shared" si="7"/>
        <v>-2.3999999999999955</v>
      </c>
      <c r="L21" s="44">
        <f t="shared" si="1"/>
        <v>0</v>
      </c>
      <c r="M21" s="57">
        <f>L21/MC_sim!$C$12</f>
        <v>0</v>
      </c>
      <c r="N21" s="57"/>
      <c r="Q21">
        <f t="shared" si="8"/>
        <v>20</v>
      </c>
      <c r="R21">
        <f t="shared" si="9"/>
        <v>-2.3999999999999955</v>
      </c>
      <c r="S21">
        <f t="shared" si="2"/>
        <v>0</v>
      </c>
      <c r="T21" s="57">
        <f>S21/MC_sim!$C$12</f>
        <v>0</v>
      </c>
      <c r="X21">
        <f t="shared" si="10"/>
        <v>20</v>
      </c>
      <c r="Y21">
        <f t="shared" si="11"/>
        <v>-24</v>
      </c>
      <c r="Z21">
        <f t="shared" si="3"/>
        <v>0</v>
      </c>
      <c r="AA21" s="57">
        <f>Z21/MC_sim!$C$12</f>
        <v>0</v>
      </c>
      <c r="AE21">
        <f t="shared" si="12"/>
        <v>20</v>
      </c>
      <c r="AF21" t="e">
        <f t="shared" si="13"/>
        <v>#N/A</v>
      </c>
      <c r="AG21" t="e" cm="1">
        <f t="array" ref="AG21">COUNTIFS(DPP_data_data,"&gt;"&amp;AF21,DPP_data,"&lt;="&amp;AF22)</f>
        <v>#NAME?</v>
      </c>
      <c r="AH21" s="57" t="e">
        <f>AG21/MC_sim!$C$12</f>
        <v>#NAME?</v>
      </c>
    </row>
    <row r="22" spans="3:34" x14ac:dyDescent="0.2">
      <c r="C22">
        <f t="shared" si="4"/>
        <v>21</v>
      </c>
      <c r="D22">
        <f t="shared" si="5"/>
        <v>4000000</v>
      </c>
      <c r="E22" s="44">
        <f t="shared" si="0"/>
        <v>0</v>
      </c>
      <c r="F22" s="60">
        <f>E22/MC_sim!$C$12</f>
        <v>0</v>
      </c>
      <c r="J22">
        <f t="shared" si="6"/>
        <v>21</v>
      </c>
      <c r="K22">
        <f t="shared" si="7"/>
        <v>-1.9999999999999956</v>
      </c>
      <c r="L22" s="44">
        <f t="shared" si="1"/>
        <v>0</v>
      </c>
      <c r="M22" s="57">
        <f>L22/MC_sim!$C$12</f>
        <v>0</v>
      </c>
      <c r="N22" s="57"/>
      <c r="Q22">
        <f t="shared" si="8"/>
        <v>21</v>
      </c>
      <c r="R22">
        <f t="shared" si="9"/>
        <v>-1.9999999999999956</v>
      </c>
      <c r="S22">
        <f t="shared" si="2"/>
        <v>0</v>
      </c>
      <c r="T22" s="57">
        <f>S22/MC_sim!$C$12</f>
        <v>0</v>
      </c>
      <c r="X22">
        <f t="shared" si="10"/>
        <v>21</v>
      </c>
      <c r="Y22">
        <f t="shared" si="11"/>
        <v>-20</v>
      </c>
      <c r="Z22">
        <f t="shared" si="3"/>
        <v>0</v>
      </c>
      <c r="AA22" s="57">
        <f>Z22/MC_sim!$C$12</f>
        <v>0</v>
      </c>
      <c r="AE22">
        <f t="shared" si="12"/>
        <v>21</v>
      </c>
      <c r="AF22" t="e">
        <f t="shared" si="13"/>
        <v>#N/A</v>
      </c>
      <c r="AG22" t="e" cm="1">
        <f t="array" ref="AG22">COUNTIFS(DPP_data_data,"&gt;"&amp;AF22,DPP_data,"&lt;="&amp;AF23)</f>
        <v>#NAME?</v>
      </c>
      <c r="AH22" s="57" t="e">
        <f>AG22/MC_sim!$C$12</f>
        <v>#NAME?</v>
      </c>
    </row>
    <row r="23" spans="3:34" x14ac:dyDescent="0.2">
      <c r="C23">
        <f t="shared" si="4"/>
        <v>22</v>
      </c>
      <c r="D23">
        <f t="shared" si="5"/>
        <v>4200000</v>
      </c>
      <c r="E23" s="44">
        <f t="shared" si="0"/>
        <v>0</v>
      </c>
      <c r="F23" s="60">
        <f>E23/MC_sim!$C$12</f>
        <v>0</v>
      </c>
      <c r="J23">
        <f t="shared" si="6"/>
        <v>22</v>
      </c>
      <c r="K23">
        <f t="shared" si="7"/>
        <v>-1.5999999999999956</v>
      </c>
      <c r="L23" s="44">
        <f t="shared" si="1"/>
        <v>0</v>
      </c>
      <c r="M23" s="57">
        <f>L23/MC_sim!$C$12</f>
        <v>0</v>
      </c>
      <c r="N23" s="57"/>
      <c r="Q23">
        <f t="shared" si="8"/>
        <v>22</v>
      </c>
      <c r="R23">
        <f t="shared" si="9"/>
        <v>-1.5999999999999956</v>
      </c>
      <c r="S23">
        <f t="shared" si="2"/>
        <v>0</v>
      </c>
      <c r="T23" s="57">
        <f>S23/MC_sim!$C$12</f>
        <v>0</v>
      </c>
      <c r="X23">
        <f t="shared" si="10"/>
        <v>22</v>
      </c>
      <c r="Y23">
        <f t="shared" si="11"/>
        <v>-16</v>
      </c>
      <c r="Z23">
        <f t="shared" si="3"/>
        <v>0</v>
      </c>
      <c r="AA23" s="57">
        <f>Z23/MC_sim!$C$12</f>
        <v>0</v>
      </c>
      <c r="AE23">
        <f t="shared" si="12"/>
        <v>22</v>
      </c>
      <c r="AF23" t="e">
        <f t="shared" si="13"/>
        <v>#N/A</v>
      </c>
      <c r="AG23" t="e" cm="1">
        <f t="array" ref="AG23">COUNTIFS(DPP_data_data,"&gt;"&amp;AF23,DPP_data,"&lt;="&amp;AF24)</f>
        <v>#NAME?</v>
      </c>
      <c r="AH23" s="57" t="e">
        <f>AG23/MC_sim!$C$12</f>
        <v>#NAME?</v>
      </c>
    </row>
    <row r="24" spans="3:34" x14ac:dyDescent="0.2">
      <c r="C24">
        <f t="shared" si="4"/>
        <v>23</v>
      </c>
      <c r="D24">
        <f t="shared" si="5"/>
        <v>4400000</v>
      </c>
      <c r="E24" s="44">
        <f t="shared" si="0"/>
        <v>0</v>
      </c>
      <c r="F24" s="60">
        <f>E24/MC_sim!$C$12</f>
        <v>0</v>
      </c>
      <c r="J24">
        <f t="shared" si="6"/>
        <v>23</v>
      </c>
      <c r="K24">
        <f t="shared" si="7"/>
        <v>-1.1999999999999957</v>
      </c>
      <c r="L24" s="44">
        <f t="shared" si="1"/>
        <v>0</v>
      </c>
      <c r="M24" s="57">
        <f>L24/MC_sim!$C$12</f>
        <v>0</v>
      </c>
      <c r="N24" s="57"/>
      <c r="Q24">
        <f t="shared" si="8"/>
        <v>23</v>
      </c>
      <c r="R24">
        <f t="shared" si="9"/>
        <v>-1.1999999999999957</v>
      </c>
      <c r="S24">
        <f t="shared" si="2"/>
        <v>0</v>
      </c>
      <c r="T24" s="57">
        <f>S24/MC_sim!$C$12</f>
        <v>0</v>
      </c>
      <c r="X24">
        <f t="shared" si="10"/>
        <v>23</v>
      </c>
      <c r="Y24">
        <f t="shared" si="11"/>
        <v>-12</v>
      </c>
      <c r="Z24">
        <f t="shared" si="3"/>
        <v>0</v>
      </c>
      <c r="AA24" s="57">
        <f>Z24/MC_sim!$C$12</f>
        <v>0</v>
      </c>
      <c r="AE24">
        <f t="shared" si="12"/>
        <v>23</v>
      </c>
      <c r="AF24" t="e">
        <f t="shared" si="13"/>
        <v>#N/A</v>
      </c>
      <c r="AG24" t="e" cm="1">
        <f t="array" ref="AG24">COUNTIFS(DPP_data_data,"&gt;"&amp;AF24,DPP_data,"&lt;="&amp;AF25)</f>
        <v>#NAME?</v>
      </c>
      <c r="AH24" s="57" t="e">
        <f>AG24/MC_sim!$C$12</f>
        <v>#NAME?</v>
      </c>
    </row>
    <row r="25" spans="3:34" x14ac:dyDescent="0.2">
      <c r="C25">
        <f t="shared" si="4"/>
        <v>24</v>
      </c>
      <c r="D25">
        <f t="shared" si="5"/>
        <v>4600000</v>
      </c>
      <c r="E25" s="44">
        <f t="shared" si="0"/>
        <v>0</v>
      </c>
      <c r="F25" s="60">
        <f>E25/MC_sim!$C$12</f>
        <v>0</v>
      </c>
      <c r="J25">
        <f t="shared" si="6"/>
        <v>24</v>
      </c>
      <c r="K25">
        <f t="shared" si="7"/>
        <v>-0.79999999999999571</v>
      </c>
      <c r="L25" s="44">
        <f t="shared" si="1"/>
        <v>0</v>
      </c>
      <c r="M25" s="57">
        <f>L25/MC_sim!$C$12</f>
        <v>0</v>
      </c>
      <c r="N25" s="57"/>
      <c r="Q25">
        <f t="shared" si="8"/>
        <v>24</v>
      </c>
      <c r="R25">
        <f t="shared" si="9"/>
        <v>-0.79999999999999571</v>
      </c>
      <c r="S25">
        <f t="shared" si="2"/>
        <v>0</v>
      </c>
      <c r="T25" s="57">
        <f>S25/MC_sim!$C$12</f>
        <v>0</v>
      </c>
      <c r="X25">
        <f t="shared" si="10"/>
        <v>24</v>
      </c>
      <c r="Y25">
        <f t="shared" si="11"/>
        <v>-8</v>
      </c>
      <c r="Z25">
        <f t="shared" si="3"/>
        <v>0</v>
      </c>
      <c r="AA25" s="57">
        <f>Z25/MC_sim!$C$12</f>
        <v>0</v>
      </c>
      <c r="AE25">
        <f t="shared" si="12"/>
        <v>24</v>
      </c>
      <c r="AF25" t="e">
        <f t="shared" si="13"/>
        <v>#N/A</v>
      </c>
      <c r="AG25" t="e" cm="1">
        <f t="array" ref="AG25">COUNTIFS(DPP_data_data,"&gt;"&amp;AF25,DPP_data,"&lt;="&amp;AF26)</f>
        <v>#NAME?</v>
      </c>
      <c r="AH25" s="57" t="e">
        <f>AG25/MC_sim!$C$12</f>
        <v>#NAME?</v>
      </c>
    </row>
    <row r="26" spans="3:34" x14ac:dyDescent="0.2">
      <c r="C26">
        <f t="shared" si="4"/>
        <v>25</v>
      </c>
      <c r="D26">
        <f t="shared" si="5"/>
        <v>4800000</v>
      </c>
      <c r="E26" s="44">
        <f t="shared" si="0"/>
        <v>0</v>
      </c>
      <c r="F26" s="60">
        <f>E26/MC_sim!$C$12</f>
        <v>0</v>
      </c>
      <c r="J26">
        <f t="shared" si="6"/>
        <v>25</v>
      </c>
      <c r="K26">
        <f t="shared" si="7"/>
        <v>-0.39999999999999569</v>
      </c>
      <c r="L26" s="44">
        <f t="shared" si="1"/>
        <v>0</v>
      </c>
      <c r="M26" s="57">
        <f>L26/MC_sim!$C$12</f>
        <v>0</v>
      </c>
      <c r="N26" s="57"/>
      <c r="Q26">
        <f t="shared" si="8"/>
        <v>25</v>
      </c>
      <c r="R26">
        <f t="shared" si="9"/>
        <v>-0.39999999999999569</v>
      </c>
      <c r="S26">
        <f t="shared" si="2"/>
        <v>0</v>
      </c>
      <c r="T26" s="57">
        <f>S26/MC_sim!$C$12</f>
        <v>0</v>
      </c>
      <c r="X26">
        <f t="shared" si="10"/>
        <v>25</v>
      </c>
      <c r="Y26">
        <f t="shared" si="11"/>
        <v>-4</v>
      </c>
      <c r="Z26">
        <f t="shared" si="3"/>
        <v>0</v>
      </c>
      <c r="AA26" s="57">
        <f>Z26/MC_sim!$C$12</f>
        <v>0</v>
      </c>
      <c r="AE26">
        <f t="shared" si="12"/>
        <v>25</v>
      </c>
      <c r="AF26" t="e">
        <f t="shared" si="13"/>
        <v>#N/A</v>
      </c>
      <c r="AG26" t="e" cm="1">
        <f t="array" ref="AG26">COUNTIFS(DPP_data_data,"&gt;"&amp;AF26,DPP_data,"&lt;="&amp;AF27)</f>
        <v>#NAME?</v>
      </c>
      <c r="AH26" s="57" t="e">
        <f>AG26/MC_sim!$C$12</f>
        <v>#NAME?</v>
      </c>
    </row>
    <row r="27" spans="3:34" x14ac:dyDescent="0.2">
      <c r="C27">
        <f t="shared" si="4"/>
        <v>26</v>
      </c>
      <c r="D27">
        <f t="shared" si="5"/>
        <v>5000000</v>
      </c>
      <c r="E27" s="44">
        <f t="shared" si="0"/>
        <v>0</v>
      </c>
      <c r="F27" s="60">
        <f>E27/MC_sim!$C$12</f>
        <v>0</v>
      </c>
      <c r="J27">
        <f t="shared" si="6"/>
        <v>26</v>
      </c>
      <c r="K27">
        <f t="shared" si="7"/>
        <v>4.3298697960381105E-15</v>
      </c>
      <c r="L27" s="44">
        <f t="shared" si="1"/>
        <v>15</v>
      </c>
      <c r="M27" s="57">
        <f>L27/MC_sim!$C$12</f>
        <v>1</v>
      </c>
      <c r="N27" s="57"/>
      <c r="Q27">
        <f t="shared" si="8"/>
        <v>26</v>
      </c>
      <c r="R27">
        <f t="shared" si="9"/>
        <v>4.3298697960381105E-15</v>
      </c>
      <c r="S27">
        <f t="shared" si="2"/>
        <v>0</v>
      </c>
      <c r="T27" s="57">
        <f>S27/MC_sim!$C$12</f>
        <v>0</v>
      </c>
      <c r="X27">
        <f t="shared" si="10"/>
        <v>26</v>
      </c>
      <c r="Y27">
        <f t="shared" si="11"/>
        <v>0</v>
      </c>
      <c r="Z27">
        <f t="shared" si="3"/>
        <v>0</v>
      </c>
      <c r="AA27" s="57">
        <f>Z27/MC_sim!$C$12</f>
        <v>0</v>
      </c>
      <c r="AE27">
        <f t="shared" si="12"/>
        <v>26</v>
      </c>
      <c r="AF27" t="e">
        <f t="shared" si="13"/>
        <v>#N/A</v>
      </c>
      <c r="AG27" t="e" cm="1">
        <f t="array" ref="AG27">COUNTIFS(DPP_data_data,"&gt;"&amp;AF27,DPP_data,"&lt;="&amp;AF28)</f>
        <v>#NAME?</v>
      </c>
      <c r="AH27" s="57" t="e">
        <f>AG27/MC_sim!$C$12</f>
        <v>#NAME?</v>
      </c>
    </row>
    <row r="28" spans="3:34" x14ac:dyDescent="0.2">
      <c r="C28">
        <f t="shared" si="4"/>
        <v>27</v>
      </c>
      <c r="D28">
        <f t="shared" si="5"/>
        <v>5200000</v>
      </c>
      <c r="E28" s="44">
        <f t="shared" si="0"/>
        <v>0</v>
      </c>
      <c r="F28" s="60">
        <f>E28/MC_sim!$C$12</f>
        <v>0</v>
      </c>
      <c r="J28">
        <f t="shared" si="6"/>
        <v>27</v>
      </c>
      <c r="K28">
        <f t="shared" si="7"/>
        <v>0.40000000000000435</v>
      </c>
      <c r="L28" s="44">
        <f t="shared" si="1"/>
        <v>0</v>
      </c>
      <c r="M28" s="57">
        <f>L28/MC_sim!$C$12</f>
        <v>0</v>
      </c>
      <c r="N28" s="57"/>
      <c r="Q28">
        <f t="shared" si="8"/>
        <v>27</v>
      </c>
      <c r="R28">
        <f t="shared" si="9"/>
        <v>0.40000000000000435</v>
      </c>
      <c r="S28">
        <f t="shared" si="2"/>
        <v>3</v>
      </c>
      <c r="T28" s="57">
        <f>S28/MC_sim!$C$12</f>
        <v>0.2</v>
      </c>
      <c r="X28">
        <f t="shared" si="10"/>
        <v>27</v>
      </c>
      <c r="Y28">
        <f t="shared" si="11"/>
        <v>4</v>
      </c>
      <c r="Z28">
        <f t="shared" si="3"/>
        <v>0</v>
      </c>
      <c r="AA28" s="57">
        <f>Z28/MC_sim!$C$12</f>
        <v>0</v>
      </c>
      <c r="AE28">
        <f t="shared" si="12"/>
        <v>27</v>
      </c>
      <c r="AF28" t="e">
        <f t="shared" si="13"/>
        <v>#N/A</v>
      </c>
      <c r="AG28" t="e" cm="1">
        <f t="array" ref="AG28">COUNTIFS(DPP_data_data,"&gt;"&amp;AF28,DPP_data,"&lt;="&amp;AF29)</f>
        <v>#NAME?</v>
      </c>
      <c r="AH28" s="57" t="e">
        <f>AG28/MC_sim!$C$12</f>
        <v>#NAME?</v>
      </c>
    </row>
    <row r="29" spans="3:34" x14ac:dyDescent="0.2">
      <c r="C29">
        <f t="shared" si="4"/>
        <v>28</v>
      </c>
      <c r="D29">
        <f t="shared" si="5"/>
        <v>5400000</v>
      </c>
      <c r="E29" s="44">
        <f t="shared" si="0"/>
        <v>0</v>
      </c>
      <c r="F29" s="60">
        <f>E29/MC_sim!$C$12</f>
        <v>0</v>
      </c>
      <c r="J29">
        <f t="shared" si="6"/>
        <v>28</v>
      </c>
      <c r="K29">
        <f t="shared" si="7"/>
        <v>0.80000000000000437</v>
      </c>
      <c r="L29" s="44">
        <f t="shared" si="1"/>
        <v>0</v>
      </c>
      <c r="M29" s="57">
        <f>L29/MC_sim!$C$12</f>
        <v>0</v>
      </c>
      <c r="N29" s="57"/>
      <c r="Q29">
        <f t="shared" si="8"/>
        <v>28</v>
      </c>
      <c r="R29">
        <f t="shared" si="9"/>
        <v>0.80000000000000437</v>
      </c>
      <c r="S29">
        <f t="shared" si="2"/>
        <v>11</v>
      </c>
      <c r="T29" s="57">
        <f>S29/MC_sim!$C$12</f>
        <v>0.73333333333333328</v>
      </c>
      <c r="X29">
        <f t="shared" si="10"/>
        <v>28</v>
      </c>
      <c r="Y29">
        <f t="shared" si="11"/>
        <v>8</v>
      </c>
      <c r="Z29">
        <f t="shared" si="3"/>
        <v>6</v>
      </c>
      <c r="AA29" s="57">
        <f>Z29/MC_sim!$C$12</f>
        <v>0.4</v>
      </c>
      <c r="AE29">
        <f t="shared" si="12"/>
        <v>28</v>
      </c>
      <c r="AF29" t="e">
        <f t="shared" si="13"/>
        <v>#N/A</v>
      </c>
      <c r="AG29" t="e" cm="1">
        <f t="array" ref="AG29">COUNTIFS(DPP_data_data,"&gt;"&amp;AF29,DPP_data,"&lt;="&amp;AF30)</f>
        <v>#NAME?</v>
      </c>
      <c r="AH29" s="57" t="e">
        <f>AG29/MC_sim!$C$12</f>
        <v>#NAME?</v>
      </c>
    </row>
    <row r="30" spans="3:34" x14ac:dyDescent="0.2">
      <c r="C30">
        <f t="shared" si="4"/>
        <v>29</v>
      </c>
      <c r="D30">
        <f t="shared" si="5"/>
        <v>5600000</v>
      </c>
      <c r="E30" s="44">
        <f t="shared" si="0"/>
        <v>0</v>
      </c>
      <c r="F30" s="60">
        <f>E30/MC_sim!$C$12</f>
        <v>0</v>
      </c>
      <c r="J30">
        <f t="shared" si="6"/>
        <v>29</v>
      </c>
      <c r="K30">
        <f t="shared" si="7"/>
        <v>1.2000000000000044</v>
      </c>
      <c r="L30" s="44">
        <f t="shared" si="1"/>
        <v>0</v>
      </c>
      <c r="M30" s="57">
        <f>L30/MC_sim!$C$12</f>
        <v>0</v>
      </c>
      <c r="N30" s="57"/>
      <c r="Q30">
        <f t="shared" si="8"/>
        <v>29</v>
      </c>
      <c r="R30">
        <f t="shared" si="9"/>
        <v>1.2000000000000044</v>
      </c>
      <c r="S30">
        <f t="shared" si="2"/>
        <v>1</v>
      </c>
      <c r="T30" s="57">
        <f>S30/MC_sim!$C$12</f>
        <v>6.6666666666666666E-2</v>
      </c>
      <c r="X30">
        <f t="shared" si="10"/>
        <v>29</v>
      </c>
      <c r="Y30">
        <f t="shared" si="11"/>
        <v>12</v>
      </c>
      <c r="Z30">
        <f t="shared" si="3"/>
        <v>9</v>
      </c>
      <c r="AA30" s="57">
        <f>Z30/MC_sim!$C$12</f>
        <v>0.6</v>
      </c>
      <c r="AE30">
        <f t="shared" si="12"/>
        <v>29</v>
      </c>
      <c r="AF30" t="e">
        <f t="shared" si="13"/>
        <v>#N/A</v>
      </c>
      <c r="AG30" t="e" cm="1">
        <f t="array" ref="AG30">COUNTIFS(DPP_data_data,"&gt;"&amp;AF30,DPP_data,"&lt;="&amp;AF31)</f>
        <v>#NAME?</v>
      </c>
      <c r="AH30" s="57" t="e">
        <f>AG30/MC_sim!$C$12</f>
        <v>#NAME?</v>
      </c>
    </row>
    <row r="31" spans="3:34" x14ac:dyDescent="0.2">
      <c r="C31">
        <f t="shared" si="4"/>
        <v>30</v>
      </c>
      <c r="D31">
        <f t="shared" si="5"/>
        <v>5800000</v>
      </c>
      <c r="E31" s="44">
        <f t="shared" si="0"/>
        <v>0</v>
      </c>
      <c r="F31" s="60">
        <f>E31/MC_sim!$C$12</f>
        <v>0</v>
      </c>
      <c r="J31">
        <f t="shared" si="6"/>
        <v>30</v>
      </c>
      <c r="K31">
        <f t="shared" si="7"/>
        <v>1.6000000000000045</v>
      </c>
      <c r="L31" s="44">
        <f t="shared" si="1"/>
        <v>0</v>
      </c>
      <c r="M31" s="57">
        <f>L31/MC_sim!$C$12</f>
        <v>0</v>
      </c>
      <c r="N31" s="57"/>
      <c r="Q31">
        <f t="shared" si="8"/>
        <v>30</v>
      </c>
      <c r="R31">
        <f t="shared" si="9"/>
        <v>1.6000000000000045</v>
      </c>
      <c r="S31">
        <f t="shared" si="2"/>
        <v>0</v>
      </c>
      <c r="T31" s="57">
        <f>S31/MC_sim!$C$12</f>
        <v>0</v>
      </c>
      <c r="X31">
        <f t="shared" si="10"/>
        <v>30</v>
      </c>
      <c r="Y31">
        <f t="shared" si="11"/>
        <v>16</v>
      </c>
      <c r="Z31">
        <f t="shared" si="3"/>
        <v>0</v>
      </c>
      <c r="AA31" s="57">
        <f>Z31/MC_sim!$C$12</f>
        <v>0</v>
      </c>
      <c r="AE31">
        <f t="shared" si="12"/>
        <v>30</v>
      </c>
      <c r="AF31" t="e">
        <f t="shared" si="13"/>
        <v>#N/A</v>
      </c>
      <c r="AG31" t="e" cm="1">
        <f t="array" ref="AG31">COUNTIFS(DPP_data_data,"&gt;"&amp;AF31,DPP_data,"&lt;="&amp;AF32)</f>
        <v>#NAME?</v>
      </c>
      <c r="AH31" s="57" t="e">
        <f>AG31/MC_sim!$C$12</f>
        <v>#NAME?</v>
      </c>
    </row>
    <row r="32" spans="3:34" x14ac:dyDescent="0.2">
      <c r="C32">
        <f t="shared" si="4"/>
        <v>31</v>
      </c>
      <c r="D32">
        <f t="shared" si="5"/>
        <v>6000000</v>
      </c>
      <c r="E32" s="44">
        <f t="shared" si="0"/>
        <v>0</v>
      </c>
      <c r="F32" s="60">
        <f>E32/MC_sim!$C$12</f>
        <v>0</v>
      </c>
      <c r="J32">
        <f t="shared" si="6"/>
        <v>31</v>
      </c>
      <c r="K32">
        <f t="shared" si="7"/>
        <v>2.0000000000000044</v>
      </c>
      <c r="L32" s="44">
        <f t="shared" si="1"/>
        <v>0</v>
      </c>
      <c r="M32" s="57">
        <f>L32/MC_sim!$C$12</f>
        <v>0</v>
      </c>
      <c r="N32" s="57"/>
      <c r="Q32">
        <f t="shared" si="8"/>
        <v>31</v>
      </c>
      <c r="R32">
        <f t="shared" si="9"/>
        <v>2.0000000000000044</v>
      </c>
      <c r="S32">
        <f t="shared" si="2"/>
        <v>0</v>
      </c>
      <c r="T32" s="57">
        <f>S32/MC_sim!$C$12</f>
        <v>0</v>
      </c>
      <c r="X32">
        <f t="shared" si="10"/>
        <v>31</v>
      </c>
      <c r="Y32">
        <f t="shared" si="11"/>
        <v>20</v>
      </c>
      <c r="Z32">
        <f t="shared" si="3"/>
        <v>0</v>
      </c>
      <c r="AA32" s="57">
        <f>Z32/MC_sim!$C$12</f>
        <v>0</v>
      </c>
      <c r="AE32">
        <f t="shared" si="12"/>
        <v>31</v>
      </c>
      <c r="AF32" t="e">
        <f t="shared" si="13"/>
        <v>#N/A</v>
      </c>
      <c r="AG32" t="e" cm="1">
        <f t="array" ref="AG32">COUNTIFS(DPP_data_data,"&gt;"&amp;AF32,DPP_data,"&lt;="&amp;AF33)</f>
        <v>#NAME?</v>
      </c>
      <c r="AH32" s="57" t="e">
        <f>AG32/MC_sim!$C$12</f>
        <v>#NAME?</v>
      </c>
    </row>
    <row r="33" spans="3:34" x14ac:dyDescent="0.2">
      <c r="C33">
        <f t="shared" si="4"/>
        <v>32</v>
      </c>
      <c r="D33">
        <f t="shared" si="5"/>
        <v>6200000</v>
      </c>
      <c r="E33" s="44">
        <f t="shared" si="0"/>
        <v>0</v>
      </c>
      <c r="F33" s="60">
        <f>E33/MC_sim!$C$12</f>
        <v>0</v>
      </c>
      <c r="J33">
        <f t="shared" si="6"/>
        <v>32</v>
      </c>
      <c r="K33">
        <f t="shared" si="7"/>
        <v>2.4000000000000044</v>
      </c>
      <c r="L33" s="44">
        <f t="shared" si="1"/>
        <v>0</v>
      </c>
      <c r="M33" s="57">
        <f>L33/MC_sim!$C$12</f>
        <v>0</v>
      </c>
      <c r="N33" s="57"/>
      <c r="Q33">
        <f t="shared" si="8"/>
        <v>32</v>
      </c>
      <c r="R33">
        <f t="shared" si="9"/>
        <v>2.4000000000000044</v>
      </c>
      <c r="S33">
        <f t="shared" si="2"/>
        <v>0</v>
      </c>
      <c r="T33" s="57">
        <f>S33/MC_sim!$C$12</f>
        <v>0</v>
      </c>
      <c r="X33">
        <f t="shared" si="10"/>
        <v>32</v>
      </c>
      <c r="Y33">
        <f t="shared" si="11"/>
        <v>24</v>
      </c>
      <c r="Z33">
        <f t="shared" si="3"/>
        <v>0</v>
      </c>
      <c r="AA33" s="57">
        <f>Z33/MC_sim!$C$12</f>
        <v>0</v>
      </c>
      <c r="AE33">
        <f t="shared" si="12"/>
        <v>32</v>
      </c>
      <c r="AF33" t="e">
        <f t="shared" si="13"/>
        <v>#N/A</v>
      </c>
      <c r="AG33" t="e" cm="1">
        <f t="array" ref="AG33">COUNTIFS(DPP_data_data,"&gt;"&amp;AF33,DPP_data,"&lt;="&amp;AF34)</f>
        <v>#NAME?</v>
      </c>
      <c r="AH33" s="57" t="e">
        <f>AG33/MC_sim!$C$12</f>
        <v>#NAME?</v>
      </c>
    </row>
    <row r="34" spans="3:34" x14ac:dyDescent="0.2">
      <c r="C34">
        <f t="shared" si="4"/>
        <v>33</v>
      </c>
      <c r="D34">
        <f t="shared" si="5"/>
        <v>6400000</v>
      </c>
      <c r="E34" s="44">
        <f t="shared" ref="E34:E52" si="14">COUNTIFS(npv_data,"&gt;"&amp;D34,npv_data,"&lt;="&amp;D35)</f>
        <v>0</v>
      </c>
      <c r="F34" s="60">
        <f>E34/MC_sim!$C$12</f>
        <v>0</v>
      </c>
      <c r="J34">
        <f t="shared" si="6"/>
        <v>33</v>
      </c>
      <c r="K34">
        <f t="shared" si="7"/>
        <v>2.8000000000000043</v>
      </c>
      <c r="L34" s="44">
        <f t="shared" ref="L34:L52" si="15">COUNTIFS(irr_data,"&gt;"&amp;K34,irr_data,"&lt;="&amp;K35)</f>
        <v>0</v>
      </c>
      <c r="M34" s="57">
        <f>L34/MC_sim!$C$12</f>
        <v>0</v>
      </c>
      <c r="N34" s="57"/>
      <c r="Q34">
        <f t="shared" si="8"/>
        <v>33</v>
      </c>
      <c r="R34">
        <f t="shared" si="9"/>
        <v>2.8000000000000043</v>
      </c>
      <c r="S34">
        <f t="shared" ref="S34:S52" si="16">COUNTIFS(pi_data,"&gt;"&amp;R34,pi_data,"&lt;="&amp;R35)</f>
        <v>0</v>
      </c>
      <c r="T34" s="57">
        <f>S34/MC_sim!$C$12</f>
        <v>0</v>
      </c>
      <c r="X34">
        <f t="shared" si="10"/>
        <v>33</v>
      </c>
      <c r="Y34">
        <f t="shared" si="11"/>
        <v>28</v>
      </c>
      <c r="Z34">
        <f t="shared" ref="Z34:Z52" si="17">COUNTIFS(pp_data,"&gt;"&amp;Y34,pp_data,"&lt;="&amp;Y35)</f>
        <v>0</v>
      </c>
      <c r="AA34" s="57">
        <f>Z34/MC_sim!$C$12</f>
        <v>0</v>
      </c>
      <c r="AE34">
        <f t="shared" si="12"/>
        <v>33</v>
      </c>
      <c r="AF34" t="e">
        <f t="shared" si="13"/>
        <v>#N/A</v>
      </c>
      <c r="AG34" t="e" cm="1">
        <f t="array" ref="AG34">COUNTIFS(DPP_data_data,"&gt;"&amp;AF34,DPP_data,"&lt;="&amp;AF35)</f>
        <v>#NAME?</v>
      </c>
      <c r="AH34" s="57" t="e">
        <f>AG34/MC_sim!$C$12</f>
        <v>#NAME?</v>
      </c>
    </row>
    <row r="35" spans="3:34" x14ac:dyDescent="0.2">
      <c r="C35">
        <f t="shared" si="4"/>
        <v>34</v>
      </c>
      <c r="D35">
        <f t="shared" si="5"/>
        <v>6600000</v>
      </c>
      <c r="E35" s="44">
        <f t="shared" si="14"/>
        <v>0</v>
      </c>
      <c r="F35" s="60">
        <f>E35/MC_sim!$C$12</f>
        <v>0</v>
      </c>
      <c r="J35">
        <f t="shared" si="6"/>
        <v>34</v>
      </c>
      <c r="K35">
        <f t="shared" si="7"/>
        <v>3.2000000000000042</v>
      </c>
      <c r="L35" s="44">
        <f t="shared" si="15"/>
        <v>0</v>
      </c>
      <c r="M35" s="57">
        <f>L35/MC_sim!$C$12</f>
        <v>0</v>
      </c>
      <c r="N35" s="57"/>
      <c r="Q35">
        <f t="shared" si="8"/>
        <v>34</v>
      </c>
      <c r="R35">
        <f t="shared" si="9"/>
        <v>3.2000000000000042</v>
      </c>
      <c r="S35">
        <f t="shared" si="16"/>
        <v>0</v>
      </c>
      <c r="T35" s="57">
        <f>S35/MC_sim!$C$12</f>
        <v>0</v>
      </c>
      <c r="X35">
        <f t="shared" si="10"/>
        <v>34</v>
      </c>
      <c r="Y35">
        <f t="shared" si="11"/>
        <v>32</v>
      </c>
      <c r="Z35">
        <f t="shared" si="17"/>
        <v>0</v>
      </c>
      <c r="AA35" s="57">
        <f>Z35/MC_sim!$C$12</f>
        <v>0</v>
      </c>
      <c r="AE35">
        <f t="shared" si="12"/>
        <v>34</v>
      </c>
      <c r="AF35" t="e">
        <f t="shared" si="13"/>
        <v>#N/A</v>
      </c>
      <c r="AG35" t="e" cm="1">
        <f t="array" ref="AG35">COUNTIFS(DPP_data_data,"&gt;"&amp;AF35,DPP_data,"&lt;="&amp;AF36)</f>
        <v>#NAME?</v>
      </c>
      <c r="AH35" s="57" t="e">
        <f>AG35/MC_sim!$C$12</f>
        <v>#NAME?</v>
      </c>
    </row>
    <row r="36" spans="3:34" x14ac:dyDescent="0.2">
      <c r="C36">
        <f t="shared" si="4"/>
        <v>35</v>
      </c>
      <c r="D36">
        <f t="shared" si="5"/>
        <v>6800000</v>
      </c>
      <c r="E36" s="44">
        <f t="shared" si="14"/>
        <v>0</v>
      </c>
      <c r="F36" s="60">
        <f>E36/MC_sim!$C$12</f>
        <v>0</v>
      </c>
      <c r="J36">
        <f t="shared" si="6"/>
        <v>35</v>
      </c>
      <c r="K36">
        <f t="shared" si="7"/>
        <v>3.6000000000000041</v>
      </c>
      <c r="L36" s="44">
        <f t="shared" si="15"/>
        <v>0</v>
      </c>
      <c r="M36" s="57">
        <f>L36/MC_sim!$C$12</f>
        <v>0</v>
      </c>
      <c r="N36" s="57"/>
      <c r="Q36">
        <f t="shared" si="8"/>
        <v>35</v>
      </c>
      <c r="R36">
        <f t="shared" si="9"/>
        <v>3.6000000000000041</v>
      </c>
      <c r="S36">
        <f t="shared" si="16"/>
        <v>0</v>
      </c>
      <c r="T36" s="57">
        <f>S36/MC_sim!$C$12</f>
        <v>0</v>
      </c>
      <c r="X36">
        <f t="shared" si="10"/>
        <v>35</v>
      </c>
      <c r="Y36">
        <f t="shared" si="11"/>
        <v>36</v>
      </c>
      <c r="Z36">
        <f t="shared" si="17"/>
        <v>0</v>
      </c>
      <c r="AA36" s="57">
        <f>Z36/MC_sim!$C$12</f>
        <v>0</v>
      </c>
      <c r="AE36">
        <f t="shared" si="12"/>
        <v>35</v>
      </c>
      <c r="AF36" t="e">
        <f t="shared" si="13"/>
        <v>#N/A</v>
      </c>
      <c r="AG36" t="e" cm="1">
        <f t="array" ref="AG36">COUNTIFS(DPP_data_data,"&gt;"&amp;AF36,DPP_data,"&lt;="&amp;AF37)</f>
        <v>#NAME?</v>
      </c>
      <c r="AH36" s="57" t="e">
        <f>AG36/MC_sim!$C$12</f>
        <v>#NAME?</v>
      </c>
    </row>
    <row r="37" spans="3:34" x14ac:dyDescent="0.2">
      <c r="C37">
        <f t="shared" si="4"/>
        <v>36</v>
      </c>
      <c r="D37">
        <f t="shared" si="5"/>
        <v>7000000</v>
      </c>
      <c r="E37" s="44">
        <f t="shared" si="14"/>
        <v>0</v>
      </c>
      <c r="F37" s="60">
        <f>E37/MC_sim!$C$12</f>
        <v>0</v>
      </c>
      <c r="J37">
        <f t="shared" si="6"/>
        <v>36</v>
      </c>
      <c r="K37">
        <f t="shared" si="7"/>
        <v>4.0000000000000044</v>
      </c>
      <c r="L37" s="44">
        <f t="shared" si="15"/>
        <v>0</v>
      </c>
      <c r="M37" s="57">
        <f>L37/MC_sim!$C$12</f>
        <v>0</v>
      </c>
      <c r="N37" s="57"/>
      <c r="Q37">
        <f t="shared" si="8"/>
        <v>36</v>
      </c>
      <c r="R37">
        <f t="shared" si="9"/>
        <v>4.0000000000000044</v>
      </c>
      <c r="S37">
        <f t="shared" si="16"/>
        <v>0</v>
      </c>
      <c r="T37" s="57">
        <f>S37/MC_sim!$C$12</f>
        <v>0</v>
      </c>
      <c r="X37">
        <f t="shared" si="10"/>
        <v>36</v>
      </c>
      <c r="Y37">
        <f t="shared" si="11"/>
        <v>40</v>
      </c>
      <c r="Z37">
        <f t="shared" si="17"/>
        <v>0</v>
      </c>
      <c r="AA37" s="57">
        <f>Z37/MC_sim!$C$12</f>
        <v>0</v>
      </c>
      <c r="AE37">
        <f t="shared" si="12"/>
        <v>36</v>
      </c>
      <c r="AF37" t="e">
        <f t="shared" si="13"/>
        <v>#N/A</v>
      </c>
      <c r="AG37" t="e" cm="1">
        <f t="array" ref="AG37">COUNTIFS(DPP_data_data,"&gt;"&amp;AF37,DPP_data,"&lt;="&amp;AF38)</f>
        <v>#NAME?</v>
      </c>
      <c r="AH37" s="57" t="e">
        <f>AG37/MC_sim!$C$12</f>
        <v>#NAME?</v>
      </c>
    </row>
    <row r="38" spans="3:34" x14ac:dyDescent="0.2">
      <c r="C38">
        <f t="shared" si="4"/>
        <v>37</v>
      </c>
      <c r="D38">
        <f t="shared" si="5"/>
        <v>7200000</v>
      </c>
      <c r="E38" s="44">
        <f t="shared" si="14"/>
        <v>0</v>
      </c>
      <c r="F38" s="60">
        <f>E38/MC_sim!$C$12</f>
        <v>0</v>
      </c>
      <c r="J38">
        <f t="shared" si="6"/>
        <v>37</v>
      </c>
      <c r="K38">
        <f t="shared" si="7"/>
        <v>4.4000000000000048</v>
      </c>
      <c r="L38" s="44">
        <f t="shared" si="15"/>
        <v>0</v>
      </c>
      <c r="M38" s="57">
        <f>L38/MC_sim!$C$12</f>
        <v>0</v>
      </c>
      <c r="N38" s="57"/>
      <c r="Q38">
        <f t="shared" si="8"/>
        <v>37</v>
      </c>
      <c r="R38">
        <f t="shared" si="9"/>
        <v>4.4000000000000048</v>
      </c>
      <c r="S38">
        <f t="shared" si="16"/>
        <v>0</v>
      </c>
      <c r="T38" s="57">
        <f>S38/MC_sim!$C$12</f>
        <v>0</v>
      </c>
      <c r="X38">
        <f t="shared" si="10"/>
        <v>37</v>
      </c>
      <c r="Y38">
        <f t="shared" si="11"/>
        <v>44</v>
      </c>
      <c r="Z38">
        <f t="shared" si="17"/>
        <v>0</v>
      </c>
      <c r="AA38" s="57">
        <f>Z38/MC_sim!$C$12</f>
        <v>0</v>
      </c>
      <c r="AE38">
        <f t="shared" si="12"/>
        <v>37</v>
      </c>
      <c r="AF38" t="e">
        <f t="shared" si="13"/>
        <v>#N/A</v>
      </c>
      <c r="AG38" t="e" cm="1">
        <f t="array" ref="AG38">COUNTIFS(DPP_data_data,"&gt;"&amp;AF38,DPP_data,"&lt;="&amp;AF39)</f>
        <v>#NAME?</v>
      </c>
      <c r="AH38" s="57" t="e">
        <f>AG38/MC_sim!$C$12</f>
        <v>#NAME?</v>
      </c>
    </row>
    <row r="39" spans="3:34" x14ac:dyDescent="0.2">
      <c r="C39">
        <f t="shared" si="4"/>
        <v>38</v>
      </c>
      <c r="D39">
        <f t="shared" si="5"/>
        <v>7400000</v>
      </c>
      <c r="E39" s="44">
        <f t="shared" si="14"/>
        <v>0</v>
      </c>
      <c r="F39" s="60">
        <f>E39/MC_sim!$C$12</f>
        <v>0</v>
      </c>
      <c r="J39">
        <f t="shared" si="6"/>
        <v>38</v>
      </c>
      <c r="K39">
        <f t="shared" si="7"/>
        <v>4.8000000000000052</v>
      </c>
      <c r="L39" s="44">
        <f t="shared" si="15"/>
        <v>0</v>
      </c>
      <c r="M39" s="57">
        <f>L39/MC_sim!$C$12</f>
        <v>0</v>
      </c>
      <c r="N39" s="57"/>
      <c r="Q39">
        <f t="shared" si="8"/>
        <v>38</v>
      </c>
      <c r="R39">
        <f t="shared" si="9"/>
        <v>4.8000000000000052</v>
      </c>
      <c r="S39">
        <f t="shared" si="16"/>
        <v>0</v>
      </c>
      <c r="T39" s="57">
        <f>S39/MC_sim!$C$12</f>
        <v>0</v>
      </c>
      <c r="X39">
        <f t="shared" si="10"/>
        <v>38</v>
      </c>
      <c r="Y39">
        <f t="shared" si="11"/>
        <v>48</v>
      </c>
      <c r="Z39">
        <f t="shared" si="17"/>
        <v>0</v>
      </c>
      <c r="AA39" s="57">
        <f>Z39/MC_sim!$C$12</f>
        <v>0</v>
      </c>
      <c r="AE39">
        <f t="shared" si="12"/>
        <v>38</v>
      </c>
      <c r="AF39" t="e">
        <f t="shared" si="13"/>
        <v>#N/A</v>
      </c>
      <c r="AG39" t="e" cm="1">
        <f t="array" ref="AG39">COUNTIFS(DPP_data_data,"&gt;"&amp;AF39,DPP_data,"&lt;="&amp;AF40)</f>
        <v>#NAME?</v>
      </c>
      <c r="AH39" s="57" t="e">
        <f>AG39/MC_sim!$C$12</f>
        <v>#NAME?</v>
      </c>
    </row>
    <row r="40" spans="3:34" x14ac:dyDescent="0.2">
      <c r="C40">
        <f t="shared" si="4"/>
        <v>39</v>
      </c>
      <c r="D40">
        <f t="shared" si="5"/>
        <v>7600000</v>
      </c>
      <c r="E40" s="44">
        <f t="shared" si="14"/>
        <v>0</v>
      </c>
      <c r="F40" s="60">
        <f>E40/MC_sim!$C$12</f>
        <v>0</v>
      </c>
      <c r="J40">
        <f t="shared" si="6"/>
        <v>39</v>
      </c>
      <c r="K40">
        <f t="shared" si="7"/>
        <v>5.2000000000000055</v>
      </c>
      <c r="L40" s="44">
        <f t="shared" si="15"/>
        <v>0</v>
      </c>
      <c r="M40" s="57">
        <f>L40/MC_sim!$C$12</f>
        <v>0</v>
      </c>
      <c r="N40" s="57"/>
      <c r="Q40">
        <f t="shared" si="8"/>
        <v>39</v>
      </c>
      <c r="R40">
        <f t="shared" si="9"/>
        <v>5.2000000000000055</v>
      </c>
      <c r="S40">
        <f t="shared" si="16"/>
        <v>0</v>
      </c>
      <c r="T40" s="57">
        <f>S40/MC_sim!$C$12</f>
        <v>0</v>
      </c>
      <c r="X40">
        <f t="shared" si="10"/>
        <v>39</v>
      </c>
      <c r="Y40">
        <f t="shared" si="11"/>
        <v>52</v>
      </c>
      <c r="Z40">
        <f t="shared" si="17"/>
        <v>0</v>
      </c>
      <c r="AA40" s="57">
        <f>Z40/MC_sim!$C$12</f>
        <v>0</v>
      </c>
      <c r="AE40">
        <f t="shared" si="12"/>
        <v>39</v>
      </c>
      <c r="AF40" t="e">
        <f t="shared" si="13"/>
        <v>#N/A</v>
      </c>
      <c r="AG40" t="e" cm="1">
        <f t="array" ref="AG40">COUNTIFS(DPP_data_data,"&gt;"&amp;AF40,DPP_data,"&lt;="&amp;AF41)</f>
        <v>#NAME?</v>
      </c>
      <c r="AH40" s="57" t="e">
        <f>AG40/MC_sim!$C$12</f>
        <v>#NAME?</v>
      </c>
    </row>
    <row r="41" spans="3:34" x14ac:dyDescent="0.2">
      <c r="C41">
        <f t="shared" si="4"/>
        <v>40</v>
      </c>
      <c r="D41">
        <f t="shared" si="5"/>
        <v>7800000</v>
      </c>
      <c r="E41" s="44">
        <f t="shared" si="14"/>
        <v>0</v>
      </c>
      <c r="F41" s="60">
        <f>E41/MC_sim!$C$12</f>
        <v>0</v>
      </c>
      <c r="J41">
        <f t="shared" si="6"/>
        <v>40</v>
      </c>
      <c r="K41">
        <f t="shared" si="7"/>
        <v>5.6000000000000059</v>
      </c>
      <c r="L41" s="44">
        <f t="shared" si="15"/>
        <v>0</v>
      </c>
      <c r="M41" s="57">
        <f>L41/MC_sim!$C$12</f>
        <v>0</v>
      </c>
      <c r="N41" s="57"/>
      <c r="Q41">
        <f t="shared" si="8"/>
        <v>40</v>
      </c>
      <c r="R41">
        <f t="shared" si="9"/>
        <v>5.6000000000000059</v>
      </c>
      <c r="S41">
        <f t="shared" si="16"/>
        <v>0</v>
      </c>
      <c r="T41" s="57">
        <f>S41/MC_sim!$C$12</f>
        <v>0</v>
      </c>
      <c r="X41">
        <f t="shared" si="10"/>
        <v>40</v>
      </c>
      <c r="Y41">
        <f t="shared" si="11"/>
        <v>56</v>
      </c>
      <c r="Z41">
        <f t="shared" si="17"/>
        <v>0</v>
      </c>
      <c r="AA41" s="57">
        <f>Z41/MC_sim!$C$12</f>
        <v>0</v>
      </c>
      <c r="AE41">
        <f t="shared" si="12"/>
        <v>40</v>
      </c>
      <c r="AF41" t="e">
        <f t="shared" si="13"/>
        <v>#N/A</v>
      </c>
      <c r="AG41" t="e" cm="1">
        <f t="array" ref="AG41">COUNTIFS(DPP_data_data,"&gt;"&amp;AF41,DPP_data,"&lt;="&amp;AF42)</f>
        <v>#NAME?</v>
      </c>
      <c r="AH41" s="57" t="e">
        <f>AG41/MC_sim!$C$12</f>
        <v>#NAME?</v>
      </c>
    </row>
    <row r="42" spans="3:34" x14ac:dyDescent="0.2">
      <c r="C42">
        <f t="shared" si="4"/>
        <v>41</v>
      </c>
      <c r="D42">
        <f t="shared" si="5"/>
        <v>8000000</v>
      </c>
      <c r="E42" s="44">
        <f t="shared" si="14"/>
        <v>0</v>
      </c>
      <c r="F42" s="60">
        <f>E42/MC_sim!$C$12</f>
        <v>0</v>
      </c>
      <c r="J42">
        <f t="shared" si="6"/>
        <v>41</v>
      </c>
      <c r="K42">
        <f t="shared" si="7"/>
        <v>6.0000000000000062</v>
      </c>
      <c r="L42" s="44">
        <f t="shared" si="15"/>
        <v>0</v>
      </c>
      <c r="M42" s="57">
        <f>L42/MC_sim!$C$12</f>
        <v>0</v>
      </c>
      <c r="N42" s="57"/>
      <c r="Q42">
        <f t="shared" si="8"/>
        <v>41</v>
      </c>
      <c r="R42">
        <f t="shared" si="9"/>
        <v>6.0000000000000062</v>
      </c>
      <c r="S42">
        <f t="shared" si="16"/>
        <v>0</v>
      </c>
      <c r="T42" s="57">
        <f>S42/MC_sim!$C$12</f>
        <v>0</v>
      </c>
      <c r="X42">
        <f t="shared" si="10"/>
        <v>41</v>
      </c>
      <c r="Y42">
        <f t="shared" si="11"/>
        <v>60</v>
      </c>
      <c r="Z42">
        <f t="shared" si="17"/>
        <v>0</v>
      </c>
      <c r="AA42" s="57">
        <f>Z42/MC_sim!$C$12</f>
        <v>0</v>
      </c>
      <c r="AE42">
        <f t="shared" si="12"/>
        <v>41</v>
      </c>
      <c r="AF42" t="e">
        <f t="shared" si="13"/>
        <v>#N/A</v>
      </c>
      <c r="AG42" t="e" cm="1">
        <f t="array" ref="AG42">COUNTIFS(DPP_data_data,"&gt;"&amp;AF42,DPP_data,"&lt;="&amp;AF43)</f>
        <v>#NAME?</v>
      </c>
      <c r="AH42" s="57" t="e">
        <f>AG42/MC_sim!$C$12</f>
        <v>#NAME?</v>
      </c>
    </row>
    <row r="43" spans="3:34" x14ac:dyDescent="0.2">
      <c r="C43">
        <f t="shared" si="4"/>
        <v>42</v>
      </c>
      <c r="D43">
        <f t="shared" si="5"/>
        <v>8200000</v>
      </c>
      <c r="E43" s="44">
        <f t="shared" si="14"/>
        <v>0</v>
      </c>
      <c r="F43" s="60">
        <f>E43/MC_sim!$C$12</f>
        <v>0</v>
      </c>
      <c r="J43">
        <f t="shared" si="6"/>
        <v>42</v>
      </c>
      <c r="K43">
        <f t="shared" si="7"/>
        <v>6.4000000000000066</v>
      </c>
      <c r="L43" s="44">
        <f t="shared" si="15"/>
        <v>0</v>
      </c>
      <c r="M43" s="57">
        <f>L43/MC_sim!$C$12</f>
        <v>0</v>
      </c>
      <c r="N43" s="57"/>
      <c r="Q43">
        <f t="shared" si="8"/>
        <v>42</v>
      </c>
      <c r="R43">
        <f t="shared" si="9"/>
        <v>6.4000000000000066</v>
      </c>
      <c r="S43">
        <f t="shared" si="16"/>
        <v>0</v>
      </c>
      <c r="T43" s="57">
        <f>S43/MC_sim!$C$12</f>
        <v>0</v>
      </c>
      <c r="X43">
        <f t="shared" si="10"/>
        <v>42</v>
      </c>
      <c r="Y43">
        <f t="shared" si="11"/>
        <v>64</v>
      </c>
      <c r="Z43">
        <f t="shared" si="17"/>
        <v>0</v>
      </c>
      <c r="AA43" s="57">
        <f>Z43/MC_sim!$C$12</f>
        <v>0</v>
      </c>
      <c r="AE43">
        <f t="shared" si="12"/>
        <v>42</v>
      </c>
      <c r="AF43" t="e">
        <f t="shared" si="13"/>
        <v>#N/A</v>
      </c>
      <c r="AG43" t="e" cm="1">
        <f t="array" ref="AG43">COUNTIFS(DPP_data_data,"&gt;"&amp;AF43,DPP_data,"&lt;="&amp;AF44)</f>
        <v>#NAME?</v>
      </c>
      <c r="AH43" s="57" t="e">
        <f>AG43/MC_sim!$C$12</f>
        <v>#NAME?</v>
      </c>
    </row>
    <row r="44" spans="3:34" x14ac:dyDescent="0.2">
      <c r="C44">
        <f t="shared" si="4"/>
        <v>43</v>
      </c>
      <c r="D44">
        <f t="shared" si="5"/>
        <v>8400000</v>
      </c>
      <c r="E44" s="44">
        <f t="shared" si="14"/>
        <v>0</v>
      </c>
      <c r="F44" s="60">
        <f>E44/MC_sim!$C$12</f>
        <v>0</v>
      </c>
      <c r="J44">
        <f t="shared" si="6"/>
        <v>43</v>
      </c>
      <c r="K44">
        <f t="shared" si="7"/>
        <v>6.8000000000000069</v>
      </c>
      <c r="L44" s="44">
        <f t="shared" si="15"/>
        <v>0</v>
      </c>
      <c r="M44" s="57">
        <f>L44/MC_sim!$C$12</f>
        <v>0</v>
      </c>
      <c r="N44" s="57"/>
      <c r="Q44">
        <f t="shared" si="8"/>
        <v>43</v>
      </c>
      <c r="R44">
        <f t="shared" si="9"/>
        <v>6.8000000000000069</v>
      </c>
      <c r="S44">
        <f t="shared" si="16"/>
        <v>0</v>
      </c>
      <c r="T44" s="57">
        <f>S44/MC_sim!$C$12</f>
        <v>0</v>
      </c>
      <c r="X44">
        <f t="shared" si="10"/>
        <v>43</v>
      </c>
      <c r="Y44">
        <f t="shared" si="11"/>
        <v>68</v>
      </c>
      <c r="Z44">
        <f t="shared" si="17"/>
        <v>0</v>
      </c>
      <c r="AA44" s="57">
        <f>Z44/MC_sim!$C$12</f>
        <v>0</v>
      </c>
      <c r="AE44">
        <f t="shared" si="12"/>
        <v>43</v>
      </c>
      <c r="AF44" t="e">
        <f t="shared" si="13"/>
        <v>#N/A</v>
      </c>
      <c r="AG44" t="e" cm="1">
        <f t="array" ref="AG44">COUNTIFS(DPP_data_data,"&gt;"&amp;AF44,DPP_data,"&lt;="&amp;AF45)</f>
        <v>#NAME?</v>
      </c>
      <c r="AH44" s="57" t="e">
        <f>AG44/MC_sim!$C$12</f>
        <v>#NAME?</v>
      </c>
    </row>
    <row r="45" spans="3:34" x14ac:dyDescent="0.2">
      <c r="C45">
        <f t="shared" si="4"/>
        <v>44</v>
      </c>
      <c r="D45">
        <f t="shared" si="5"/>
        <v>8600000</v>
      </c>
      <c r="E45" s="44">
        <f t="shared" si="14"/>
        <v>0</v>
      </c>
      <c r="F45" s="60">
        <f>E45/MC_sim!$C$12</f>
        <v>0</v>
      </c>
      <c r="J45">
        <f t="shared" si="6"/>
        <v>44</v>
      </c>
      <c r="K45">
        <f t="shared" si="7"/>
        <v>7.2000000000000073</v>
      </c>
      <c r="L45" s="44">
        <f t="shared" si="15"/>
        <v>0</v>
      </c>
      <c r="M45" s="57">
        <f>L45/MC_sim!$C$12</f>
        <v>0</v>
      </c>
      <c r="N45" s="57"/>
      <c r="Q45">
        <f t="shared" si="8"/>
        <v>44</v>
      </c>
      <c r="R45">
        <f t="shared" si="9"/>
        <v>7.2000000000000073</v>
      </c>
      <c r="S45">
        <f t="shared" si="16"/>
        <v>0</v>
      </c>
      <c r="T45" s="57">
        <f>S45/MC_sim!$C$12</f>
        <v>0</v>
      </c>
      <c r="X45">
        <f t="shared" si="10"/>
        <v>44</v>
      </c>
      <c r="Y45">
        <f t="shared" si="11"/>
        <v>72</v>
      </c>
      <c r="Z45">
        <f t="shared" si="17"/>
        <v>0</v>
      </c>
      <c r="AA45" s="57">
        <f>Z45/MC_sim!$C$12</f>
        <v>0</v>
      </c>
      <c r="AE45">
        <f t="shared" si="12"/>
        <v>44</v>
      </c>
      <c r="AF45" t="e">
        <f t="shared" si="13"/>
        <v>#N/A</v>
      </c>
      <c r="AG45" t="e" cm="1">
        <f t="array" ref="AG45">COUNTIFS(DPP_data_data,"&gt;"&amp;AF45,DPP_data,"&lt;="&amp;AF46)</f>
        <v>#NAME?</v>
      </c>
      <c r="AH45" s="57" t="e">
        <f>AG45/MC_sim!$C$12</f>
        <v>#NAME?</v>
      </c>
    </row>
    <row r="46" spans="3:34" x14ac:dyDescent="0.2">
      <c r="C46">
        <f t="shared" si="4"/>
        <v>45</v>
      </c>
      <c r="D46">
        <f t="shared" si="5"/>
        <v>8800000</v>
      </c>
      <c r="E46" s="44">
        <f t="shared" si="14"/>
        <v>0</v>
      </c>
      <c r="F46" s="60">
        <f>E46/MC_sim!$C$12</f>
        <v>0</v>
      </c>
      <c r="J46">
        <f t="shared" si="6"/>
        <v>45</v>
      </c>
      <c r="K46">
        <f t="shared" si="7"/>
        <v>7.6000000000000076</v>
      </c>
      <c r="L46" s="44">
        <f t="shared" si="15"/>
        <v>0</v>
      </c>
      <c r="M46" s="57">
        <f>L46/MC_sim!$C$12</f>
        <v>0</v>
      </c>
      <c r="N46" s="57"/>
      <c r="Q46">
        <f t="shared" si="8"/>
        <v>45</v>
      </c>
      <c r="R46">
        <f t="shared" si="9"/>
        <v>7.6000000000000076</v>
      </c>
      <c r="S46">
        <f t="shared" si="16"/>
        <v>0</v>
      </c>
      <c r="T46" s="57">
        <f>S46/MC_sim!$C$12</f>
        <v>0</v>
      </c>
      <c r="X46">
        <f t="shared" si="10"/>
        <v>45</v>
      </c>
      <c r="Y46">
        <f t="shared" si="11"/>
        <v>76</v>
      </c>
      <c r="Z46">
        <f t="shared" si="17"/>
        <v>0</v>
      </c>
      <c r="AA46" s="57">
        <f>Z46/MC_sim!$C$12</f>
        <v>0</v>
      </c>
      <c r="AE46">
        <f t="shared" si="12"/>
        <v>45</v>
      </c>
      <c r="AF46" t="e">
        <f t="shared" si="13"/>
        <v>#N/A</v>
      </c>
      <c r="AG46" t="e" cm="1">
        <f t="array" ref="AG46">COUNTIFS(DPP_data_data,"&gt;"&amp;AF46,DPP_data,"&lt;="&amp;AF47)</f>
        <v>#NAME?</v>
      </c>
      <c r="AH46" s="57" t="e">
        <f>AG46/MC_sim!$C$12</f>
        <v>#NAME?</v>
      </c>
    </row>
    <row r="47" spans="3:34" x14ac:dyDescent="0.2">
      <c r="C47">
        <f t="shared" si="4"/>
        <v>46</v>
      </c>
      <c r="D47">
        <f t="shared" si="5"/>
        <v>9000000</v>
      </c>
      <c r="E47" s="44">
        <f t="shared" si="14"/>
        <v>0</v>
      </c>
      <c r="F47" s="60">
        <f>E47/MC_sim!$C$12</f>
        <v>0</v>
      </c>
      <c r="J47">
        <f t="shared" si="6"/>
        <v>46</v>
      </c>
      <c r="K47">
        <f t="shared" si="7"/>
        <v>8.0000000000000071</v>
      </c>
      <c r="L47" s="44">
        <f t="shared" si="15"/>
        <v>0</v>
      </c>
      <c r="M47" s="57">
        <f>L47/MC_sim!$C$12</f>
        <v>0</v>
      </c>
      <c r="N47" s="57"/>
      <c r="Q47">
        <f t="shared" si="8"/>
        <v>46</v>
      </c>
      <c r="R47">
        <f t="shared" si="9"/>
        <v>8.0000000000000071</v>
      </c>
      <c r="S47">
        <f t="shared" si="16"/>
        <v>0</v>
      </c>
      <c r="T47" s="57">
        <f>S47/MC_sim!$C$12</f>
        <v>0</v>
      </c>
      <c r="X47">
        <f t="shared" si="10"/>
        <v>46</v>
      </c>
      <c r="Y47">
        <f t="shared" si="11"/>
        <v>80</v>
      </c>
      <c r="Z47">
        <f t="shared" si="17"/>
        <v>0</v>
      </c>
      <c r="AA47" s="57">
        <f>Z47/MC_sim!$C$12</f>
        <v>0</v>
      </c>
      <c r="AE47">
        <f t="shared" si="12"/>
        <v>46</v>
      </c>
      <c r="AF47" t="e">
        <f t="shared" si="13"/>
        <v>#N/A</v>
      </c>
      <c r="AG47" t="e" cm="1">
        <f t="array" ref="AG47">COUNTIFS(DPP_data_data,"&gt;"&amp;AF47,DPP_data,"&lt;="&amp;AF48)</f>
        <v>#NAME?</v>
      </c>
      <c r="AH47" s="57" t="e">
        <f>AG47/MC_sim!$C$12</f>
        <v>#NAME?</v>
      </c>
    </row>
    <row r="48" spans="3:34" x14ac:dyDescent="0.2">
      <c r="C48">
        <f t="shared" si="4"/>
        <v>47</v>
      </c>
      <c r="D48">
        <f t="shared" si="5"/>
        <v>9200000</v>
      </c>
      <c r="E48" s="44">
        <f t="shared" si="14"/>
        <v>0</v>
      </c>
      <c r="F48" s="60">
        <f>E48/MC_sim!$C$12</f>
        <v>0</v>
      </c>
      <c r="J48">
        <f t="shared" si="6"/>
        <v>47</v>
      </c>
      <c r="K48">
        <f t="shared" si="7"/>
        <v>8.4000000000000075</v>
      </c>
      <c r="L48" s="44">
        <f t="shared" si="15"/>
        <v>0</v>
      </c>
      <c r="M48" s="57">
        <f>L48/MC_sim!$C$12</f>
        <v>0</v>
      </c>
      <c r="N48" s="57"/>
      <c r="Q48">
        <f t="shared" si="8"/>
        <v>47</v>
      </c>
      <c r="R48">
        <f t="shared" si="9"/>
        <v>8.4000000000000075</v>
      </c>
      <c r="S48">
        <f t="shared" si="16"/>
        <v>0</v>
      </c>
      <c r="T48" s="57">
        <f>S48/MC_sim!$C$12</f>
        <v>0</v>
      </c>
      <c r="X48">
        <f t="shared" si="10"/>
        <v>47</v>
      </c>
      <c r="Y48">
        <f t="shared" si="11"/>
        <v>84</v>
      </c>
      <c r="Z48">
        <f t="shared" si="17"/>
        <v>0</v>
      </c>
      <c r="AA48" s="57">
        <f>Z48/MC_sim!$C$12</f>
        <v>0</v>
      </c>
      <c r="AE48">
        <f t="shared" si="12"/>
        <v>47</v>
      </c>
      <c r="AF48" t="e">
        <f t="shared" si="13"/>
        <v>#N/A</v>
      </c>
      <c r="AG48" t="e" cm="1">
        <f t="array" ref="AG48">COUNTIFS(DPP_data_data,"&gt;"&amp;AF48,DPP_data,"&lt;="&amp;AF49)</f>
        <v>#NAME?</v>
      </c>
      <c r="AH48" s="57" t="e">
        <f>AG48/MC_sim!$C$12</f>
        <v>#NAME?</v>
      </c>
    </row>
    <row r="49" spans="3:34" x14ac:dyDescent="0.2">
      <c r="C49">
        <f t="shared" si="4"/>
        <v>48</v>
      </c>
      <c r="D49">
        <f t="shared" si="5"/>
        <v>9400000</v>
      </c>
      <c r="E49" s="44">
        <f t="shared" si="14"/>
        <v>0</v>
      </c>
      <c r="F49" s="60">
        <f>E49/MC_sim!$C$12</f>
        <v>0</v>
      </c>
      <c r="J49">
        <f t="shared" si="6"/>
        <v>48</v>
      </c>
      <c r="K49">
        <f t="shared" si="7"/>
        <v>8.8000000000000078</v>
      </c>
      <c r="L49" s="44">
        <f t="shared" si="15"/>
        <v>0</v>
      </c>
      <c r="M49" s="57">
        <f>L49/MC_sim!$C$12</f>
        <v>0</v>
      </c>
      <c r="N49" s="57"/>
      <c r="Q49">
        <f t="shared" si="8"/>
        <v>48</v>
      </c>
      <c r="R49">
        <f t="shared" si="9"/>
        <v>8.8000000000000078</v>
      </c>
      <c r="S49">
        <f t="shared" si="16"/>
        <v>0</v>
      </c>
      <c r="T49" s="57">
        <f>S49/MC_sim!$C$12</f>
        <v>0</v>
      </c>
      <c r="X49">
        <f t="shared" si="10"/>
        <v>48</v>
      </c>
      <c r="Y49">
        <f t="shared" si="11"/>
        <v>88</v>
      </c>
      <c r="Z49">
        <f t="shared" si="17"/>
        <v>0</v>
      </c>
      <c r="AA49" s="57">
        <f>Z49/MC_sim!$C$12</f>
        <v>0</v>
      </c>
      <c r="AE49">
        <f t="shared" si="12"/>
        <v>48</v>
      </c>
      <c r="AF49" t="e">
        <f t="shared" si="13"/>
        <v>#N/A</v>
      </c>
      <c r="AG49" t="e" cm="1">
        <f t="array" ref="AG49">COUNTIFS(DPP_data_data,"&gt;"&amp;AF49,DPP_data,"&lt;="&amp;AF50)</f>
        <v>#NAME?</v>
      </c>
      <c r="AH49" s="57" t="e">
        <f>AG49/MC_sim!$C$12</f>
        <v>#NAME?</v>
      </c>
    </row>
    <row r="50" spans="3:34" x14ac:dyDescent="0.2">
      <c r="C50">
        <f t="shared" si="4"/>
        <v>49</v>
      </c>
      <c r="D50">
        <f t="shared" si="5"/>
        <v>9600000</v>
      </c>
      <c r="E50" s="44">
        <f t="shared" si="14"/>
        <v>0</v>
      </c>
      <c r="F50" s="60">
        <f>E50/MC_sim!$C$12</f>
        <v>0</v>
      </c>
      <c r="J50">
        <f t="shared" si="6"/>
        <v>49</v>
      </c>
      <c r="K50">
        <f t="shared" si="7"/>
        <v>9.2000000000000082</v>
      </c>
      <c r="L50" s="44">
        <f t="shared" si="15"/>
        <v>0</v>
      </c>
      <c r="M50" s="57">
        <f>L50/MC_sim!$C$12</f>
        <v>0</v>
      </c>
      <c r="N50" s="57"/>
      <c r="Q50">
        <f t="shared" si="8"/>
        <v>49</v>
      </c>
      <c r="R50">
        <f t="shared" si="9"/>
        <v>9.2000000000000082</v>
      </c>
      <c r="S50">
        <f t="shared" si="16"/>
        <v>0</v>
      </c>
      <c r="T50" s="57">
        <f>S50/MC_sim!$C$12</f>
        <v>0</v>
      </c>
      <c r="X50">
        <f t="shared" si="10"/>
        <v>49</v>
      </c>
      <c r="Y50">
        <f t="shared" si="11"/>
        <v>92</v>
      </c>
      <c r="Z50">
        <f t="shared" si="17"/>
        <v>0</v>
      </c>
      <c r="AA50" s="57">
        <f>Z50/MC_sim!$C$12</f>
        <v>0</v>
      </c>
      <c r="AE50">
        <f t="shared" si="12"/>
        <v>49</v>
      </c>
      <c r="AF50" t="e">
        <f t="shared" si="13"/>
        <v>#N/A</v>
      </c>
      <c r="AG50" t="e" cm="1">
        <f t="array" ref="AG50">COUNTIFS(DPP_data_data,"&gt;"&amp;AF50,DPP_data,"&lt;="&amp;AF51)</f>
        <v>#NAME?</v>
      </c>
      <c r="AH50" s="57" t="e">
        <f>AG50/MC_sim!$C$12</f>
        <v>#NAME?</v>
      </c>
    </row>
    <row r="51" spans="3:34" x14ac:dyDescent="0.2">
      <c r="C51">
        <f t="shared" si="4"/>
        <v>50</v>
      </c>
      <c r="D51">
        <f t="shared" si="5"/>
        <v>9800000</v>
      </c>
      <c r="E51" s="44">
        <f t="shared" si="14"/>
        <v>0</v>
      </c>
      <c r="F51" s="60">
        <f>E51/MC_sim!$C$12</f>
        <v>0</v>
      </c>
      <c r="J51">
        <f t="shared" si="6"/>
        <v>50</v>
      </c>
      <c r="K51">
        <f t="shared" si="7"/>
        <v>9.6000000000000085</v>
      </c>
      <c r="L51" s="44">
        <f t="shared" si="15"/>
        <v>0</v>
      </c>
      <c r="M51" s="57">
        <f>L51/MC_sim!$C$12</f>
        <v>0</v>
      </c>
      <c r="N51" s="57"/>
      <c r="Q51">
        <f t="shared" si="8"/>
        <v>50</v>
      </c>
      <c r="R51">
        <f t="shared" si="9"/>
        <v>9.6000000000000085</v>
      </c>
      <c r="S51">
        <f t="shared" si="16"/>
        <v>0</v>
      </c>
      <c r="T51" s="57">
        <f>S51/MC_sim!$C$12</f>
        <v>0</v>
      </c>
      <c r="X51">
        <f t="shared" si="10"/>
        <v>50</v>
      </c>
      <c r="Y51">
        <f t="shared" si="11"/>
        <v>96</v>
      </c>
      <c r="Z51">
        <f t="shared" si="17"/>
        <v>0</v>
      </c>
      <c r="AA51" s="57">
        <f>Z51/MC_sim!$C$12</f>
        <v>0</v>
      </c>
      <c r="AE51">
        <f t="shared" si="12"/>
        <v>50</v>
      </c>
      <c r="AF51" t="e">
        <f t="shared" si="13"/>
        <v>#N/A</v>
      </c>
      <c r="AG51" t="e" cm="1">
        <f t="array" ref="AG51">COUNTIFS(DPP_data_data,"&gt;"&amp;AF51,DPP_data,"&lt;="&amp;AF52)</f>
        <v>#NAME?</v>
      </c>
      <c r="AH51" s="57" t="e">
        <f>AG51/MC_sim!$C$12</f>
        <v>#NAME?</v>
      </c>
    </row>
    <row r="52" spans="3:34" x14ac:dyDescent="0.2">
      <c r="C52">
        <f>C51+1</f>
        <v>51</v>
      </c>
      <c r="D52">
        <f t="shared" si="5"/>
        <v>10000000</v>
      </c>
      <c r="E52" s="44">
        <f t="shared" si="14"/>
        <v>0</v>
      </c>
      <c r="F52" s="60">
        <f>E52/MC_sim!$C$12</f>
        <v>0</v>
      </c>
      <c r="J52">
        <f>J51+1</f>
        <v>51</v>
      </c>
      <c r="K52">
        <f t="shared" si="7"/>
        <v>10.000000000000009</v>
      </c>
      <c r="L52" s="44">
        <f t="shared" si="15"/>
        <v>0</v>
      </c>
      <c r="M52" s="57">
        <f>L52/MC_sim!$C$12</f>
        <v>0</v>
      </c>
      <c r="N52" s="57"/>
      <c r="Q52">
        <f>Q51+1</f>
        <v>51</v>
      </c>
      <c r="R52">
        <f t="shared" si="9"/>
        <v>10.000000000000009</v>
      </c>
      <c r="S52">
        <f t="shared" si="16"/>
        <v>0</v>
      </c>
      <c r="T52" s="57">
        <f>S52/MC_sim!$C$12</f>
        <v>0</v>
      </c>
      <c r="X52">
        <f>X51+1</f>
        <v>51</v>
      </c>
      <c r="Y52">
        <f t="shared" si="11"/>
        <v>100</v>
      </c>
      <c r="Z52">
        <f t="shared" si="17"/>
        <v>0</v>
      </c>
      <c r="AA52" s="57">
        <f>Z52/MC_sim!$C$12</f>
        <v>0</v>
      </c>
      <c r="AE52">
        <f>AE51+1</f>
        <v>51</v>
      </c>
      <c r="AF52" t="e">
        <f t="shared" si="13"/>
        <v>#N/A</v>
      </c>
      <c r="AG52" t="e" cm="1">
        <f t="array" ref="AG52">COUNTIFS(DPP_data_data,"&gt;"&amp;AF52,DPP_data,"&lt;="&amp;AF53)</f>
        <v>#NAME?</v>
      </c>
      <c r="AH52" s="57" t="e">
        <f>AG52/MC_sim!$C$12</f>
        <v>#NAME?</v>
      </c>
    </row>
  </sheetData>
  <mergeCells count="5">
    <mergeCell ref="A2:B2"/>
    <mergeCell ref="H2:I2"/>
    <mergeCell ref="O2:P2"/>
    <mergeCell ref="V2:W2"/>
    <mergeCell ref="AC2:AD2"/>
  </mergeCells>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11A14-8930-40BE-B5DE-004457F7D737}">
  <sheetPr codeName="Sheet2">
    <pageSetUpPr fitToPage="1"/>
  </sheetPr>
  <dimension ref="A1:AC183"/>
  <sheetViews>
    <sheetView workbookViewId="0">
      <selection activeCell="T19" sqref="T19"/>
    </sheetView>
  </sheetViews>
  <sheetFormatPr baseColWidth="10" defaultColWidth="8.83203125" defaultRowHeight="15" x14ac:dyDescent="0.2"/>
  <cols>
    <col min="3" max="3" width="20.5" customWidth="1"/>
    <col min="4" max="4" width="10.5" customWidth="1"/>
    <col min="12" max="12" width="14.5" customWidth="1"/>
    <col min="15" max="15" width="9.1640625" customWidth="1"/>
  </cols>
  <sheetData>
    <row r="1" spans="1:25" x14ac:dyDescent="0.2">
      <c r="A1" s="37"/>
      <c r="B1" s="37"/>
      <c r="C1" s="38"/>
      <c r="D1" s="38"/>
      <c r="E1" s="38"/>
      <c r="F1" s="38"/>
      <c r="G1" s="38"/>
      <c r="H1" s="38"/>
      <c r="I1" s="38"/>
      <c r="J1" s="38"/>
      <c r="K1" s="38"/>
      <c r="L1" s="38"/>
      <c r="M1" s="38"/>
      <c r="N1" s="38"/>
      <c r="O1" s="38"/>
      <c r="P1" s="38"/>
      <c r="Q1" s="38"/>
      <c r="R1" s="38"/>
      <c r="S1" s="38"/>
      <c r="T1" s="38"/>
      <c r="U1" s="38"/>
      <c r="V1" s="38"/>
      <c r="W1" s="38"/>
      <c r="X1" s="38"/>
      <c r="Y1" s="38"/>
    </row>
    <row r="2" spans="1:25" ht="15" customHeight="1" x14ac:dyDescent="0.2">
      <c r="A2" s="37"/>
      <c r="B2" s="37"/>
      <c r="C2" s="38"/>
      <c r="D2" s="97" t="s">
        <v>38</v>
      </c>
      <c r="E2" s="97"/>
      <c r="F2" s="97"/>
      <c r="G2" s="97"/>
      <c r="H2" s="97"/>
      <c r="I2" s="97"/>
      <c r="J2" s="97"/>
      <c r="K2" s="97"/>
      <c r="L2" s="97"/>
      <c r="M2" s="97"/>
      <c r="N2" s="97"/>
      <c r="O2" s="97"/>
      <c r="P2" s="38"/>
      <c r="Q2" s="38"/>
      <c r="R2" s="38"/>
      <c r="S2" s="38"/>
      <c r="T2" s="38"/>
      <c r="U2" s="38"/>
      <c r="V2" s="38"/>
      <c r="W2" s="38"/>
      <c r="X2" s="38"/>
      <c r="Y2" s="38"/>
    </row>
    <row r="3" spans="1:25" ht="15" customHeight="1" x14ac:dyDescent="0.2">
      <c r="A3" s="37"/>
      <c r="B3" s="37"/>
      <c r="C3" s="38"/>
      <c r="D3" s="97"/>
      <c r="E3" s="97"/>
      <c r="F3" s="97"/>
      <c r="G3" s="97"/>
      <c r="H3" s="97"/>
      <c r="I3" s="97"/>
      <c r="J3" s="97"/>
      <c r="K3" s="97"/>
      <c r="L3" s="97"/>
      <c r="M3" s="97"/>
      <c r="N3" s="97"/>
      <c r="O3" s="97"/>
      <c r="P3" s="38"/>
      <c r="Q3" s="38"/>
      <c r="R3" s="38"/>
      <c r="S3" s="38"/>
      <c r="T3" s="38"/>
      <c r="U3" s="38"/>
      <c r="V3" s="38"/>
      <c r="W3" s="38"/>
      <c r="X3" s="38"/>
      <c r="Y3" s="38"/>
    </row>
    <row r="4" spans="1:25" x14ac:dyDescent="0.2">
      <c r="A4" s="37"/>
      <c r="B4" s="37"/>
      <c r="C4" s="38"/>
      <c r="D4" s="38"/>
      <c r="E4" s="38"/>
      <c r="F4" s="38"/>
      <c r="G4" s="38"/>
      <c r="H4" s="38"/>
      <c r="I4" s="38"/>
      <c r="J4" s="38"/>
      <c r="K4" s="38"/>
      <c r="L4" s="38"/>
      <c r="M4" s="38"/>
      <c r="N4" s="38"/>
      <c r="O4" s="38"/>
      <c r="P4" s="38"/>
      <c r="Q4" s="38"/>
      <c r="R4" s="38"/>
      <c r="S4" s="38"/>
      <c r="T4" s="38"/>
      <c r="U4" s="38"/>
      <c r="V4" s="38"/>
      <c r="W4" s="38"/>
      <c r="X4" s="38"/>
      <c r="Y4" s="38"/>
    </row>
    <row r="5" spans="1:25" ht="15.75" customHeight="1" x14ac:dyDescent="0.2">
      <c r="A5" s="37"/>
      <c r="B5" s="37"/>
      <c r="C5" s="38"/>
      <c r="D5" s="38"/>
      <c r="E5" s="38"/>
      <c r="F5" s="38"/>
      <c r="G5" s="38"/>
      <c r="H5" s="38"/>
      <c r="I5" s="38"/>
      <c r="J5" s="38"/>
      <c r="K5" s="38"/>
      <c r="L5" s="38"/>
      <c r="M5" s="38"/>
      <c r="N5" s="38"/>
      <c r="O5" s="38"/>
      <c r="P5" s="38"/>
      <c r="Q5" s="38"/>
      <c r="R5" s="38"/>
      <c r="S5" s="38"/>
      <c r="T5" s="38"/>
      <c r="U5" s="38"/>
      <c r="V5" s="38"/>
      <c r="W5" s="38"/>
      <c r="X5" s="38"/>
      <c r="Y5" s="38"/>
    </row>
    <row r="6" spans="1:25" x14ac:dyDescent="0.2">
      <c r="A6" s="37"/>
      <c r="B6" s="37"/>
      <c r="E6" s="38"/>
      <c r="G6" s="38"/>
      <c r="H6" s="38"/>
      <c r="K6" s="38"/>
      <c r="R6" s="38"/>
      <c r="S6" s="38"/>
      <c r="T6" s="38"/>
      <c r="U6" s="38"/>
      <c r="V6" s="38"/>
      <c r="W6" s="38"/>
      <c r="X6" s="38"/>
      <c r="Y6" s="38"/>
    </row>
    <row r="7" spans="1:25" x14ac:dyDescent="0.2">
      <c r="A7" s="37"/>
      <c r="B7" s="37"/>
      <c r="C7" s="38"/>
      <c r="D7" s="38"/>
      <c r="E7" s="38"/>
      <c r="F7" s="38"/>
      <c r="G7" s="38"/>
      <c r="H7" s="38"/>
      <c r="I7" s="38"/>
      <c r="J7" s="38"/>
      <c r="K7" s="38"/>
      <c r="L7" s="38"/>
      <c r="M7" s="38"/>
      <c r="N7" s="38"/>
      <c r="O7" s="38"/>
      <c r="P7" s="38"/>
      <c r="Q7" s="38"/>
      <c r="R7" s="38"/>
      <c r="S7" s="38"/>
      <c r="T7" s="38"/>
      <c r="U7" s="38"/>
      <c r="V7" s="38"/>
      <c r="W7" s="38"/>
      <c r="X7" s="38"/>
      <c r="Y7" s="38"/>
    </row>
    <row r="8" spans="1:25" x14ac:dyDescent="0.2">
      <c r="A8" s="37"/>
      <c r="B8" s="37"/>
      <c r="C8" s="95">
        <f>Sheet1!H28</f>
        <v>4740921.2030934189</v>
      </c>
      <c r="D8" s="95"/>
      <c r="E8" s="38"/>
      <c r="F8" s="42">
        <f>Sheet1!H29</f>
        <v>0.12265676873758991</v>
      </c>
      <c r="G8" s="38"/>
      <c r="H8" s="38"/>
      <c r="I8" s="96">
        <f>Sheet1!H30</f>
        <v>1.4740921203093418</v>
      </c>
      <c r="J8" s="96"/>
      <c r="K8" s="38"/>
      <c r="L8" s="96">
        <f>Sheet1!H31</f>
        <v>8.1673228346456686</v>
      </c>
      <c r="M8" s="96"/>
      <c r="N8" s="96"/>
      <c r="O8" s="96">
        <f>Sheet1!H32</f>
        <v>9.8707076908908338</v>
      </c>
      <c r="P8" s="96"/>
      <c r="Q8" s="38"/>
      <c r="R8" s="38"/>
      <c r="S8" s="38"/>
      <c r="T8" s="38"/>
      <c r="U8" s="38"/>
      <c r="V8" s="38"/>
      <c r="W8" s="38"/>
      <c r="X8" s="38"/>
      <c r="Y8" s="38"/>
    </row>
    <row r="9" spans="1:25" x14ac:dyDescent="0.2">
      <c r="A9" s="37"/>
      <c r="B9" s="37"/>
      <c r="C9" s="38"/>
      <c r="D9" s="38"/>
      <c r="E9" s="38"/>
      <c r="F9" s="38"/>
      <c r="G9" s="38"/>
      <c r="H9" s="38"/>
      <c r="I9" s="38"/>
      <c r="J9" s="38"/>
      <c r="K9" s="38"/>
      <c r="L9" s="38"/>
      <c r="M9" s="38"/>
      <c r="N9" s="38"/>
      <c r="O9" s="38"/>
      <c r="P9" s="38"/>
      <c r="Q9" s="38"/>
      <c r="R9" s="38"/>
      <c r="S9" s="38"/>
      <c r="T9" s="38"/>
      <c r="U9" s="38"/>
      <c r="V9" s="38"/>
      <c r="W9" s="38"/>
      <c r="X9" s="38"/>
      <c r="Y9" s="38"/>
    </row>
    <row r="10" spans="1:25" x14ac:dyDescent="0.2">
      <c r="A10" s="37"/>
      <c r="B10" s="37"/>
      <c r="C10" s="38"/>
      <c r="D10" s="38"/>
      <c r="E10" s="38"/>
      <c r="F10" s="38"/>
      <c r="G10" s="38"/>
      <c r="H10" s="38"/>
      <c r="I10" s="38"/>
      <c r="J10" s="38"/>
      <c r="K10" s="38"/>
      <c r="L10" s="38"/>
      <c r="M10" s="38"/>
      <c r="N10" s="38"/>
      <c r="O10" s="38"/>
      <c r="P10" s="38"/>
      <c r="Q10" s="38"/>
      <c r="R10" s="38"/>
      <c r="S10" s="38"/>
      <c r="T10" s="38"/>
      <c r="U10" s="38"/>
      <c r="V10" s="38"/>
      <c r="W10" s="38"/>
      <c r="X10" s="38"/>
      <c r="Y10" s="38"/>
    </row>
    <row r="11" spans="1:25" x14ac:dyDescent="0.2">
      <c r="A11" s="37"/>
      <c r="B11" s="37"/>
      <c r="C11" s="38"/>
      <c r="D11" s="38"/>
      <c r="E11" s="38"/>
      <c r="F11" s="38"/>
      <c r="G11" s="38"/>
      <c r="H11" s="38"/>
      <c r="I11" s="38"/>
      <c r="J11" s="38"/>
      <c r="K11" s="38"/>
      <c r="L11" s="38"/>
      <c r="M11" s="38"/>
      <c r="N11" s="38"/>
      <c r="O11" s="38"/>
      <c r="P11" s="38"/>
      <c r="Q11" s="38"/>
      <c r="R11" s="38"/>
      <c r="S11" s="38"/>
      <c r="T11" s="38"/>
      <c r="U11" s="38"/>
      <c r="V11" s="38"/>
      <c r="W11" s="38"/>
      <c r="X11" s="38"/>
      <c r="Y11" s="38"/>
    </row>
    <row r="12" spans="1:25" x14ac:dyDescent="0.2">
      <c r="A12" s="37"/>
      <c r="B12" s="37"/>
      <c r="C12" s="38"/>
      <c r="D12" s="38"/>
      <c r="E12" s="38"/>
      <c r="F12" s="38"/>
      <c r="G12" s="38"/>
      <c r="H12" s="38"/>
      <c r="I12" s="38"/>
      <c r="J12" s="38"/>
      <c r="K12" s="38"/>
      <c r="L12" s="38"/>
      <c r="M12" s="38"/>
      <c r="N12" s="38"/>
      <c r="O12" s="38"/>
      <c r="P12" s="38"/>
      <c r="Q12" s="38"/>
      <c r="R12" s="38"/>
      <c r="S12" s="38"/>
      <c r="T12" s="38"/>
      <c r="U12" s="38"/>
      <c r="V12" s="38"/>
      <c r="W12" s="38"/>
      <c r="X12" s="38"/>
      <c r="Y12" s="38"/>
    </row>
    <row r="13" spans="1:25" x14ac:dyDescent="0.2">
      <c r="A13" s="37"/>
      <c r="B13" s="37"/>
      <c r="C13" s="38"/>
      <c r="D13" s="38"/>
      <c r="E13" s="38"/>
      <c r="F13" s="38"/>
      <c r="G13" s="38"/>
      <c r="H13" s="38"/>
      <c r="I13" s="38"/>
      <c r="J13" s="38"/>
      <c r="K13" s="38"/>
      <c r="L13" s="38"/>
      <c r="M13" s="38"/>
      <c r="N13" s="38"/>
      <c r="O13" s="38"/>
      <c r="P13" s="38"/>
      <c r="Q13" s="38"/>
      <c r="R13" s="38"/>
      <c r="S13" s="38"/>
      <c r="T13" s="38"/>
      <c r="U13" s="38"/>
      <c r="V13" s="38"/>
      <c r="W13" s="38"/>
      <c r="X13" s="38"/>
      <c r="Y13" s="38"/>
    </row>
    <row r="14" spans="1:25" x14ac:dyDescent="0.2">
      <c r="A14" s="37"/>
      <c r="B14" s="37"/>
      <c r="C14" s="38"/>
      <c r="D14" s="38"/>
      <c r="E14" s="38"/>
      <c r="F14" s="38"/>
      <c r="G14" s="38"/>
      <c r="H14" s="38"/>
      <c r="I14" s="38"/>
      <c r="J14" s="38"/>
      <c r="K14" s="38"/>
      <c r="L14" s="38"/>
      <c r="M14" s="38"/>
      <c r="N14" s="38"/>
      <c r="O14" s="38"/>
      <c r="P14" s="38"/>
      <c r="Q14" s="38"/>
      <c r="R14" s="38"/>
      <c r="S14" s="38"/>
      <c r="T14" s="38"/>
      <c r="U14" s="38"/>
      <c r="V14" s="38"/>
      <c r="W14" s="38"/>
      <c r="X14" s="38"/>
      <c r="Y14" s="38"/>
    </row>
    <row r="15" spans="1:25" x14ac:dyDescent="0.2">
      <c r="A15" s="37"/>
      <c r="B15" s="37"/>
      <c r="C15" s="38"/>
      <c r="D15" s="38"/>
      <c r="E15" s="38"/>
      <c r="F15" s="38"/>
      <c r="G15" s="38"/>
      <c r="H15" s="38"/>
      <c r="I15" s="38"/>
      <c r="J15" s="38"/>
      <c r="K15" s="38"/>
      <c r="L15" s="38"/>
      <c r="M15" s="38"/>
      <c r="N15" s="38"/>
      <c r="O15" s="38"/>
      <c r="P15" s="38"/>
      <c r="Q15" s="38"/>
      <c r="R15" s="38"/>
      <c r="S15" s="38"/>
      <c r="T15" s="38"/>
      <c r="U15" s="38"/>
      <c r="V15" s="38"/>
      <c r="W15" s="38"/>
      <c r="X15" s="38"/>
      <c r="Y15" s="38"/>
    </row>
    <row r="16" spans="1:25" x14ac:dyDescent="0.2">
      <c r="A16" s="37"/>
      <c r="B16" s="37"/>
      <c r="C16" s="38"/>
      <c r="D16" s="38"/>
      <c r="E16" s="38"/>
      <c r="F16" s="38"/>
      <c r="G16" s="38"/>
      <c r="H16" s="38"/>
      <c r="I16" s="38"/>
      <c r="J16" s="38"/>
      <c r="K16" s="38"/>
      <c r="L16" s="38"/>
      <c r="M16" s="38"/>
      <c r="N16" s="38"/>
      <c r="O16" s="38"/>
      <c r="P16" s="38"/>
      <c r="Q16" s="38"/>
      <c r="R16" s="38"/>
      <c r="S16" s="38"/>
      <c r="T16" s="38"/>
      <c r="U16" s="38"/>
      <c r="V16" s="38"/>
      <c r="W16" s="38"/>
      <c r="X16" s="38"/>
      <c r="Y16" s="38"/>
    </row>
    <row r="17" spans="1:25" x14ac:dyDescent="0.2">
      <c r="A17" s="37"/>
      <c r="B17" s="37"/>
      <c r="C17" s="38"/>
      <c r="D17" s="38"/>
      <c r="E17" s="38"/>
      <c r="F17" s="38"/>
      <c r="G17" s="38"/>
      <c r="H17" s="38"/>
      <c r="I17" s="38"/>
      <c r="J17" s="38"/>
      <c r="K17" s="38"/>
      <c r="L17" s="38"/>
      <c r="M17" s="38"/>
      <c r="N17" s="38"/>
      <c r="O17" s="38"/>
      <c r="P17" s="38"/>
      <c r="Q17" s="38"/>
      <c r="R17" s="38"/>
      <c r="S17" s="38"/>
      <c r="T17" s="38"/>
      <c r="U17" s="38"/>
      <c r="V17" s="38"/>
      <c r="W17" s="38"/>
      <c r="X17" s="38"/>
      <c r="Y17" s="38"/>
    </row>
    <row r="18" spans="1:25" x14ac:dyDescent="0.2">
      <c r="A18" s="37"/>
      <c r="B18" s="37"/>
      <c r="C18" s="38"/>
      <c r="D18" s="38"/>
      <c r="E18" s="38"/>
      <c r="F18" s="38"/>
      <c r="G18" s="38"/>
      <c r="H18" s="38"/>
      <c r="I18" s="38"/>
      <c r="J18" s="38"/>
      <c r="K18" s="38"/>
      <c r="L18" s="38"/>
      <c r="M18" s="38"/>
      <c r="N18" s="38"/>
      <c r="O18" s="38"/>
      <c r="P18" s="38"/>
      <c r="Q18" s="38"/>
      <c r="R18" s="38"/>
      <c r="S18" s="38"/>
      <c r="T18" s="38"/>
      <c r="U18" s="38"/>
      <c r="V18" s="38"/>
      <c r="W18" s="38"/>
      <c r="X18" s="38"/>
      <c r="Y18" s="38"/>
    </row>
    <row r="19" spans="1:25" x14ac:dyDescent="0.2">
      <c r="A19" s="37"/>
      <c r="B19" s="37"/>
      <c r="C19" s="38"/>
      <c r="D19" s="38"/>
      <c r="E19" s="38"/>
      <c r="F19" s="38"/>
      <c r="G19" s="38"/>
      <c r="H19" s="38"/>
      <c r="I19" s="38"/>
      <c r="J19" s="38"/>
      <c r="K19" s="38"/>
      <c r="L19" s="38"/>
      <c r="M19" s="38"/>
      <c r="N19" s="38"/>
      <c r="O19" s="38"/>
      <c r="P19" s="38"/>
      <c r="Q19" s="38"/>
      <c r="R19" s="38"/>
      <c r="S19" s="38"/>
      <c r="T19" s="38"/>
      <c r="U19" s="38"/>
      <c r="V19" s="38"/>
      <c r="W19" s="38"/>
      <c r="X19" s="38"/>
      <c r="Y19" s="38"/>
    </row>
    <row r="20" spans="1:25" x14ac:dyDescent="0.2">
      <c r="A20" s="37"/>
      <c r="B20" s="37"/>
      <c r="C20" s="38"/>
      <c r="D20" s="38"/>
      <c r="E20" s="38"/>
      <c r="F20" s="38"/>
      <c r="G20" s="38"/>
      <c r="H20" s="38"/>
      <c r="I20" s="38"/>
      <c r="J20" s="38"/>
      <c r="K20" s="38"/>
      <c r="L20" s="38"/>
      <c r="M20" s="38"/>
      <c r="N20" s="38"/>
      <c r="O20" s="38"/>
      <c r="P20" s="38"/>
      <c r="Q20" s="38"/>
      <c r="R20" s="38"/>
      <c r="S20" s="38"/>
      <c r="T20" s="38"/>
      <c r="U20" s="38"/>
      <c r="V20" s="38"/>
      <c r="W20" s="38"/>
      <c r="X20" s="38"/>
      <c r="Y20" s="38"/>
    </row>
    <row r="21" spans="1:25" x14ac:dyDescent="0.2">
      <c r="A21" s="37"/>
      <c r="B21" s="37"/>
      <c r="C21" s="38"/>
      <c r="D21" s="38"/>
      <c r="E21" s="38"/>
      <c r="F21" s="38"/>
      <c r="G21" s="38"/>
      <c r="H21" s="38"/>
      <c r="I21" s="38"/>
      <c r="J21" s="38"/>
      <c r="K21" s="38"/>
      <c r="L21" s="38"/>
      <c r="M21" s="38"/>
      <c r="N21" s="38"/>
      <c r="O21" s="38"/>
      <c r="P21" s="38"/>
      <c r="Q21" s="38"/>
      <c r="R21" s="38"/>
      <c r="S21" s="38"/>
      <c r="T21" s="38"/>
      <c r="U21" s="38"/>
      <c r="V21" s="38"/>
      <c r="W21" s="38"/>
      <c r="X21" s="38"/>
      <c r="Y21" s="38"/>
    </row>
    <row r="22" spans="1:25" x14ac:dyDescent="0.2">
      <c r="A22" s="37"/>
      <c r="B22" s="37"/>
      <c r="C22" s="38"/>
      <c r="D22" s="38"/>
      <c r="E22" s="38"/>
      <c r="F22" s="38"/>
      <c r="G22" s="38"/>
      <c r="H22" s="38"/>
      <c r="I22" s="38"/>
      <c r="J22" s="38"/>
      <c r="K22" s="38"/>
      <c r="L22" s="38"/>
      <c r="M22" s="38"/>
      <c r="N22" s="38"/>
      <c r="O22" s="38"/>
      <c r="P22" s="38"/>
      <c r="Q22" s="38"/>
      <c r="R22" s="38"/>
      <c r="S22" s="38"/>
      <c r="T22" s="38"/>
      <c r="U22" s="38"/>
      <c r="V22" s="38"/>
      <c r="W22" s="38"/>
      <c r="X22" s="38"/>
      <c r="Y22" s="38"/>
    </row>
    <row r="23" spans="1:25" x14ac:dyDescent="0.2">
      <c r="A23" s="37"/>
      <c r="B23" s="37"/>
      <c r="C23" s="38"/>
      <c r="D23" s="38"/>
      <c r="E23" s="38"/>
      <c r="F23" s="38"/>
      <c r="G23" s="38"/>
      <c r="H23" s="38"/>
      <c r="I23" s="38"/>
      <c r="J23" s="38"/>
      <c r="K23" s="38"/>
      <c r="L23" s="38"/>
      <c r="M23" s="38"/>
      <c r="N23" s="38"/>
      <c r="O23" s="38"/>
      <c r="P23" s="38"/>
      <c r="Q23" s="38"/>
      <c r="R23" s="38"/>
      <c r="S23" s="38"/>
      <c r="T23" s="38"/>
      <c r="U23" s="38"/>
      <c r="V23" s="38"/>
      <c r="W23" s="38"/>
      <c r="X23" s="38"/>
      <c r="Y23" s="38"/>
    </row>
    <row r="24" spans="1:25" x14ac:dyDescent="0.2">
      <c r="A24" s="37"/>
      <c r="B24" s="37"/>
      <c r="C24" s="38"/>
      <c r="D24" s="38"/>
      <c r="E24" s="38"/>
      <c r="F24" s="38"/>
      <c r="G24" s="38"/>
      <c r="H24" s="38"/>
      <c r="I24" s="38"/>
      <c r="J24" s="38"/>
      <c r="K24" s="38"/>
      <c r="L24" s="38"/>
      <c r="M24" s="38"/>
      <c r="N24" s="38"/>
      <c r="O24" s="38"/>
      <c r="P24" s="38"/>
      <c r="Q24" s="38"/>
      <c r="R24" s="38"/>
      <c r="S24" s="38"/>
      <c r="T24" s="38"/>
      <c r="U24" s="38"/>
      <c r="V24" s="38"/>
      <c r="W24" s="38"/>
      <c r="X24" s="38"/>
      <c r="Y24" s="38"/>
    </row>
    <row r="25" spans="1:25" x14ac:dyDescent="0.2">
      <c r="A25" s="37"/>
      <c r="B25" s="37"/>
      <c r="C25" s="38"/>
      <c r="D25" s="38"/>
      <c r="E25" s="38"/>
      <c r="F25" s="38"/>
      <c r="G25" s="38"/>
      <c r="H25" s="38"/>
      <c r="I25" s="38"/>
      <c r="J25" s="38"/>
      <c r="K25" s="38"/>
      <c r="L25" s="38"/>
      <c r="M25" s="38"/>
      <c r="N25" s="38"/>
      <c r="O25" s="38"/>
      <c r="P25" s="38"/>
      <c r="Q25" s="38"/>
      <c r="R25" s="38"/>
      <c r="S25" s="38"/>
      <c r="T25" s="38"/>
      <c r="U25" s="38"/>
      <c r="V25" s="38"/>
      <c r="W25" s="38"/>
      <c r="X25" s="38"/>
      <c r="Y25" s="38"/>
    </row>
    <row r="26" spans="1:25" x14ac:dyDescent="0.2">
      <c r="A26" s="37"/>
      <c r="B26" s="37"/>
      <c r="C26" s="38"/>
      <c r="D26" s="38"/>
      <c r="E26" s="38"/>
      <c r="F26" s="38"/>
      <c r="G26" s="38"/>
      <c r="H26" s="38"/>
      <c r="I26" s="38"/>
      <c r="J26" s="38"/>
      <c r="K26" s="38"/>
      <c r="L26" s="38"/>
      <c r="M26" s="38"/>
      <c r="N26" s="38"/>
      <c r="O26" s="38"/>
      <c r="P26" s="38"/>
      <c r="Q26" s="38"/>
      <c r="R26" s="38"/>
      <c r="S26" s="38"/>
      <c r="T26" s="38"/>
      <c r="U26" s="38"/>
      <c r="V26" s="38"/>
      <c r="W26" s="38"/>
      <c r="X26" s="38"/>
      <c r="Y26" s="38"/>
    </row>
    <row r="27" spans="1:25" x14ac:dyDescent="0.2">
      <c r="A27" s="37"/>
      <c r="B27" s="37"/>
      <c r="C27" s="38"/>
      <c r="D27" s="38"/>
      <c r="E27" s="38"/>
      <c r="F27" s="38"/>
      <c r="G27" s="38"/>
      <c r="H27" s="38"/>
      <c r="I27" s="38"/>
      <c r="J27" s="38"/>
      <c r="K27" s="38"/>
      <c r="L27" s="38"/>
      <c r="M27" s="38"/>
      <c r="N27" s="38"/>
      <c r="O27" s="38"/>
      <c r="P27" s="38"/>
      <c r="Q27" s="38"/>
      <c r="R27" s="38"/>
      <c r="S27" s="38"/>
      <c r="T27" s="38"/>
      <c r="U27" s="38"/>
      <c r="V27" s="38"/>
      <c r="W27" s="38"/>
      <c r="X27" s="38"/>
      <c r="Y27" s="38"/>
    </row>
    <row r="28" spans="1:25" x14ac:dyDescent="0.2">
      <c r="A28" s="37"/>
      <c r="B28" s="37"/>
      <c r="C28" s="38"/>
      <c r="D28" s="38"/>
      <c r="E28" s="38"/>
      <c r="F28" s="38"/>
      <c r="G28" s="38"/>
      <c r="H28" s="38"/>
      <c r="I28" s="38"/>
      <c r="J28" s="38"/>
      <c r="K28" s="38"/>
      <c r="L28" s="38"/>
      <c r="M28" s="38"/>
      <c r="N28" s="38"/>
      <c r="O28" s="38"/>
      <c r="P28" s="38"/>
      <c r="Q28" s="38"/>
      <c r="R28" s="38"/>
      <c r="S28" s="38"/>
      <c r="T28" s="38"/>
      <c r="U28" s="38"/>
      <c r="V28" s="38"/>
      <c r="W28" s="38"/>
      <c r="X28" s="38"/>
      <c r="Y28" s="38"/>
    </row>
    <row r="29" spans="1:25" x14ac:dyDescent="0.2">
      <c r="A29" s="37"/>
      <c r="B29" s="37"/>
      <c r="C29" s="38"/>
      <c r="D29" s="38"/>
      <c r="E29" s="38"/>
      <c r="F29" s="38"/>
      <c r="G29" s="38"/>
      <c r="H29" s="38"/>
      <c r="I29" s="38"/>
      <c r="J29" s="38"/>
      <c r="K29" s="38"/>
      <c r="L29" s="38"/>
      <c r="M29" s="38"/>
      <c r="N29" s="38"/>
      <c r="O29" s="38"/>
      <c r="P29" s="38"/>
      <c r="Q29" s="38"/>
      <c r="R29" s="38"/>
      <c r="S29" s="38"/>
      <c r="T29" s="38"/>
      <c r="U29" s="38"/>
      <c r="V29" s="38"/>
      <c r="W29" s="38"/>
      <c r="X29" s="38"/>
      <c r="Y29" s="38"/>
    </row>
    <row r="30" spans="1:25" x14ac:dyDescent="0.2">
      <c r="A30" s="37"/>
      <c r="B30" s="37"/>
      <c r="C30" s="38"/>
      <c r="D30" s="38"/>
      <c r="E30" s="38"/>
      <c r="F30" s="38"/>
      <c r="G30" s="38"/>
      <c r="H30" s="38"/>
      <c r="I30" s="38"/>
      <c r="J30" s="38"/>
      <c r="K30" s="38"/>
      <c r="L30" s="38"/>
      <c r="M30" s="38"/>
      <c r="N30" s="38"/>
      <c r="O30" s="38"/>
      <c r="P30" s="38"/>
      <c r="Q30" s="38"/>
      <c r="R30" s="38"/>
      <c r="S30" s="38"/>
      <c r="T30" s="38"/>
      <c r="U30" s="38"/>
      <c r="V30" s="38"/>
      <c r="W30" s="38"/>
      <c r="X30" s="38"/>
      <c r="Y30" s="38"/>
    </row>
    <row r="31" spans="1:25" x14ac:dyDescent="0.2">
      <c r="A31" s="37"/>
      <c r="B31" s="37"/>
      <c r="C31" s="38"/>
      <c r="D31" s="38"/>
      <c r="E31" s="38"/>
      <c r="F31" s="38"/>
      <c r="G31" s="38"/>
      <c r="H31" s="38"/>
      <c r="I31" s="38"/>
      <c r="J31" s="38"/>
      <c r="K31" s="38"/>
      <c r="L31" s="38"/>
      <c r="M31" s="38"/>
      <c r="N31" s="38"/>
      <c r="O31" s="38"/>
      <c r="P31" s="38"/>
      <c r="Q31" s="38"/>
      <c r="R31" s="38"/>
      <c r="S31" s="38"/>
      <c r="T31" s="38"/>
      <c r="U31" s="38"/>
      <c r="V31" s="38"/>
      <c r="W31" s="38"/>
      <c r="X31" s="38"/>
      <c r="Y31" s="38"/>
    </row>
    <row r="32" spans="1:25" x14ac:dyDescent="0.2">
      <c r="A32" s="37"/>
      <c r="B32" s="37"/>
      <c r="C32" s="38"/>
      <c r="D32" s="38"/>
      <c r="E32" s="38"/>
      <c r="F32" s="38"/>
      <c r="G32" s="38"/>
      <c r="H32" s="38"/>
      <c r="I32" s="38"/>
      <c r="J32" s="38"/>
      <c r="K32" s="38"/>
      <c r="L32" s="38"/>
      <c r="M32" s="38"/>
      <c r="N32" s="38"/>
      <c r="O32" s="38"/>
      <c r="P32" s="38"/>
      <c r="Q32" s="38"/>
      <c r="R32" s="38"/>
      <c r="S32" s="38"/>
      <c r="T32" s="38"/>
      <c r="U32" s="38"/>
      <c r="V32" s="38"/>
      <c r="W32" s="38"/>
      <c r="X32" s="38"/>
      <c r="Y32" s="38"/>
    </row>
    <row r="33" spans="1:25" x14ac:dyDescent="0.2">
      <c r="A33" s="37"/>
      <c r="B33" s="37"/>
      <c r="C33" s="38"/>
      <c r="D33" s="38"/>
      <c r="E33" s="38"/>
      <c r="F33" s="38"/>
      <c r="G33" s="38"/>
      <c r="H33" s="38"/>
      <c r="I33" s="38"/>
      <c r="J33" s="38"/>
      <c r="K33" s="38"/>
      <c r="L33" s="38"/>
      <c r="M33" s="38"/>
      <c r="N33" s="38"/>
      <c r="O33" s="38"/>
      <c r="P33" s="38"/>
      <c r="Q33" s="38"/>
      <c r="R33" s="38"/>
      <c r="S33" s="38"/>
      <c r="T33" s="38"/>
      <c r="U33" s="38"/>
      <c r="V33" s="38"/>
      <c r="W33" s="38"/>
      <c r="X33" s="38"/>
      <c r="Y33" s="38"/>
    </row>
    <row r="34" spans="1:25" x14ac:dyDescent="0.2">
      <c r="A34" s="37"/>
      <c r="B34" s="37"/>
      <c r="C34" s="38"/>
      <c r="D34" s="38"/>
      <c r="E34" s="38"/>
      <c r="F34" s="38"/>
      <c r="G34" s="38"/>
      <c r="H34" s="38"/>
      <c r="I34" s="38"/>
      <c r="J34" s="38"/>
      <c r="K34" s="38"/>
      <c r="L34" s="38"/>
      <c r="M34" s="38"/>
      <c r="N34" s="38"/>
      <c r="O34" s="38"/>
      <c r="P34" s="38"/>
      <c r="Q34" s="38"/>
      <c r="R34" s="38"/>
      <c r="S34" s="38"/>
      <c r="T34" s="38"/>
      <c r="U34" s="38"/>
      <c r="V34" s="38"/>
      <c r="W34" s="38"/>
      <c r="X34" s="38"/>
      <c r="Y34" s="38"/>
    </row>
    <row r="35" spans="1:25" x14ac:dyDescent="0.2">
      <c r="A35" s="37"/>
      <c r="B35" s="37"/>
      <c r="C35" s="38"/>
      <c r="D35" s="38"/>
      <c r="E35" s="38"/>
      <c r="F35" s="38"/>
      <c r="G35" s="38"/>
      <c r="H35" s="38"/>
      <c r="I35" s="38"/>
      <c r="J35" s="38"/>
      <c r="K35" s="38"/>
      <c r="L35" s="38"/>
      <c r="M35" s="38"/>
      <c r="N35" s="38"/>
      <c r="O35" s="38"/>
      <c r="P35" s="38"/>
      <c r="Q35" s="38"/>
      <c r="R35" s="38"/>
      <c r="S35" s="38"/>
      <c r="T35" s="38"/>
      <c r="U35" s="38"/>
      <c r="V35" s="38"/>
      <c r="W35" s="38"/>
      <c r="X35" s="38"/>
      <c r="Y35" s="38"/>
    </row>
    <row r="36" spans="1:25" x14ac:dyDescent="0.2">
      <c r="A36" s="37"/>
      <c r="B36" s="37"/>
      <c r="C36" s="38"/>
      <c r="D36" s="38"/>
      <c r="E36" s="38"/>
      <c r="F36" s="38"/>
      <c r="G36" s="38"/>
      <c r="H36" s="38"/>
      <c r="I36" s="38"/>
      <c r="J36" s="38"/>
      <c r="K36" s="38"/>
      <c r="L36" s="38"/>
      <c r="M36" s="38"/>
      <c r="N36" s="38"/>
      <c r="O36" s="38"/>
      <c r="P36" s="38"/>
      <c r="Q36" s="38"/>
      <c r="R36" s="38"/>
      <c r="S36" s="38"/>
      <c r="T36" s="38"/>
      <c r="U36" s="38"/>
      <c r="V36" s="38"/>
      <c r="W36" s="38"/>
      <c r="X36" s="38"/>
      <c r="Y36" s="38"/>
    </row>
    <row r="37" spans="1:25" x14ac:dyDescent="0.2">
      <c r="A37" s="37"/>
      <c r="B37" s="37"/>
      <c r="C37" s="38"/>
      <c r="D37" s="38"/>
      <c r="E37" s="38"/>
      <c r="F37" s="38"/>
      <c r="G37" s="38"/>
      <c r="H37" s="38"/>
      <c r="I37" s="38"/>
      <c r="J37" s="38"/>
      <c r="K37" s="38"/>
      <c r="L37" s="38"/>
      <c r="M37" s="38"/>
      <c r="N37" s="38"/>
      <c r="O37" s="38"/>
      <c r="P37" s="38"/>
      <c r="Q37" s="38"/>
      <c r="R37" s="38"/>
      <c r="S37" s="38"/>
      <c r="T37" s="38"/>
      <c r="U37" s="38"/>
      <c r="V37" s="38"/>
      <c r="W37" s="38"/>
      <c r="X37" s="38"/>
      <c r="Y37" s="38"/>
    </row>
    <row r="38" spans="1:25" x14ac:dyDescent="0.2">
      <c r="A38" s="37"/>
      <c r="B38" s="37"/>
      <c r="C38" s="38"/>
      <c r="D38" s="38"/>
      <c r="E38" s="38"/>
      <c r="F38" s="38"/>
      <c r="G38" s="38"/>
      <c r="H38" s="38"/>
      <c r="I38" s="38"/>
      <c r="J38" s="38"/>
      <c r="K38" s="38"/>
      <c r="L38" s="38"/>
      <c r="M38" s="38"/>
      <c r="N38" s="38"/>
      <c r="O38" s="38"/>
      <c r="P38" s="38"/>
      <c r="Q38" s="38"/>
      <c r="R38" s="38"/>
      <c r="S38" s="38"/>
      <c r="T38" s="38"/>
      <c r="U38" s="38"/>
      <c r="V38" s="38"/>
      <c r="W38" s="38"/>
      <c r="X38" s="38"/>
      <c r="Y38" s="38"/>
    </row>
    <row r="39" spans="1:25" x14ac:dyDescent="0.2">
      <c r="A39" s="37"/>
      <c r="B39" s="37"/>
      <c r="C39" s="38"/>
      <c r="D39" s="38"/>
      <c r="E39" s="38"/>
      <c r="F39" s="38"/>
      <c r="G39" s="38"/>
      <c r="H39" s="38"/>
      <c r="I39" s="38"/>
      <c r="J39" s="38"/>
      <c r="K39" s="38"/>
      <c r="L39" s="38"/>
      <c r="M39" s="38"/>
      <c r="N39" s="38"/>
      <c r="O39" s="38"/>
      <c r="P39" s="38"/>
      <c r="Q39" s="38"/>
      <c r="R39" s="38"/>
      <c r="S39" s="38"/>
      <c r="T39" s="38"/>
      <c r="U39" s="38"/>
      <c r="V39" s="38"/>
      <c r="W39" s="38"/>
      <c r="X39" s="38"/>
      <c r="Y39" s="38"/>
    </row>
    <row r="40" spans="1:25" x14ac:dyDescent="0.2">
      <c r="A40" s="37"/>
      <c r="B40" s="37"/>
      <c r="C40" s="38"/>
      <c r="D40" s="38"/>
      <c r="E40" s="38"/>
      <c r="F40" s="38"/>
      <c r="G40" s="38"/>
      <c r="H40" s="38"/>
      <c r="I40" s="38"/>
      <c r="J40" s="38"/>
      <c r="K40" s="38"/>
      <c r="L40" s="38"/>
      <c r="M40" s="38"/>
      <c r="N40" s="38"/>
      <c r="O40" s="38"/>
      <c r="P40" s="38"/>
      <c r="Q40" s="38"/>
      <c r="R40" s="38"/>
      <c r="S40" s="38"/>
      <c r="T40" s="38"/>
      <c r="U40" s="38"/>
      <c r="V40" s="38"/>
      <c r="W40" s="38"/>
      <c r="X40" s="38"/>
      <c r="Y40" s="38"/>
    </row>
    <row r="41" spans="1:25" x14ac:dyDescent="0.2">
      <c r="A41" s="37"/>
      <c r="B41" s="37"/>
      <c r="C41" s="38"/>
      <c r="D41" s="38"/>
      <c r="E41" s="38"/>
      <c r="F41" s="38"/>
      <c r="G41" s="38"/>
      <c r="H41" s="38"/>
      <c r="I41" s="38"/>
      <c r="J41" s="38"/>
      <c r="K41" s="38"/>
      <c r="L41" s="38"/>
      <c r="M41" s="38"/>
      <c r="N41" s="38"/>
      <c r="O41" s="38"/>
      <c r="P41" s="38"/>
      <c r="Q41" s="38"/>
      <c r="R41" s="38"/>
      <c r="S41" s="38"/>
      <c r="T41" s="38"/>
      <c r="U41" s="38"/>
      <c r="V41" s="38"/>
      <c r="W41" s="38"/>
      <c r="X41" s="38"/>
      <c r="Y41" s="38"/>
    </row>
    <row r="42" spans="1:25" x14ac:dyDescent="0.2">
      <c r="A42" s="37"/>
      <c r="B42" s="37"/>
      <c r="C42" s="38"/>
      <c r="D42" s="38"/>
      <c r="E42" s="38"/>
      <c r="F42" s="38"/>
      <c r="G42" s="38"/>
      <c r="H42" s="38"/>
      <c r="I42" s="38"/>
      <c r="J42" s="38"/>
      <c r="K42" s="38"/>
      <c r="L42" s="38"/>
      <c r="M42" s="38"/>
      <c r="N42" s="38"/>
      <c r="O42" s="38"/>
      <c r="P42" s="38"/>
      <c r="Q42" s="38"/>
      <c r="R42" s="38"/>
      <c r="S42" s="38"/>
      <c r="T42" s="38"/>
      <c r="U42" s="38"/>
      <c r="V42" s="38"/>
      <c r="W42" s="38"/>
      <c r="X42" s="38"/>
      <c r="Y42" s="38"/>
    </row>
    <row r="43" spans="1:25" x14ac:dyDescent="0.2">
      <c r="A43" s="37"/>
      <c r="B43" s="37"/>
      <c r="C43" s="38"/>
      <c r="D43" s="38"/>
      <c r="E43" s="38"/>
      <c r="F43" s="38"/>
      <c r="G43" s="38"/>
      <c r="H43" s="38"/>
      <c r="I43" s="38"/>
      <c r="J43" s="38"/>
      <c r="K43" s="38"/>
      <c r="L43" s="38"/>
      <c r="M43" s="38"/>
      <c r="N43" s="38"/>
      <c r="O43" s="38"/>
      <c r="P43" s="38"/>
      <c r="Q43" s="38"/>
      <c r="R43" s="38"/>
      <c r="S43" s="38"/>
      <c r="T43" s="38"/>
      <c r="U43" s="38"/>
      <c r="V43" s="38"/>
      <c r="W43" s="38"/>
      <c r="X43" s="38"/>
      <c r="Y43" s="38"/>
    </row>
    <row r="44" spans="1:25" x14ac:dyDescent="0.2">
      <c r="A44" s="37"/>
      <c r="B44" s="37"/>
      <c r="C44" s="38"/>
      <c r="D44" s="38"/>
      <c r="E44" s="38"/>
      <c r="F44" s="38"/>
      <c r="G44" s="38"/>
      <c r="H44" s="38"/>
      <c r="I44" s="38"/>
      <c r="J44" s="38"/>
      <c r="K44" s="38"/>
      <c r="L44" s="38"/>
      <c r="M44" s="38"/>
      <c r="N44" s="38"/>
      <c r="O44" s="38"/>
      <c r="P44" s="38"/>
      <c r="Q44" s="38"/>
      <c r="R44" s="38"/>
      <c r="S44" s="38"/>
      <c r="T44" s="38"/>
      <c r="U44" s="38"/>
      <c r="V44" s="38"/>
      <c r="W44" s="38"/>
      <c r="X44" s="38"/>
      <c r="Y44" s="38"/>
    </row>
    <row r="45" spans="1:25" x14ac:dyDescent="0.2">
      <c r="A45" s="37"/>
      <c r="B45" s="37"/>
      <c r="C45" s="38"/>
      <c r="D45" s="38"/>
      <c r="E45" s="38"/>
      <c r="F45" s="38"/>
      <c r="G45" s="38"/>
      <c r="H45" s="38"/>
      <c r="I45" s="38"/>
      <c r="J45" s="38"/>
      <c r="K45" s="38"/>
      <c r="L45" s="38"/>
      <c r="M45" s="38"/>
      <c r="N45" s="38"/>
      <c r="O45" s="38"/>
      <c r="P45" s="38"/>
      <c r="Q45" s="38"/>
      <c r="R45" s="38"/>
      <c r="S45" s="38"/>
      <c r="T45" s="38"/>
      <c r="U45" s="38"/>
      <c r="V45" s="38"/>
      <c r="W45" s="38"/>
      <c r="X45" s="38"/>
      <c r="Y45" s="38"/>
    </row>
    <row r="46" spans="1:25" x14ac:dyDescent="0.2">
      <c r="A46" s="37"/>
      <c r="B46" s="37"/>
      <c r="C46" s="38"/>
      <c r="D46" s="38"/>
      <c r="E46" s="38"/>
      <c r="F46" s="38"/>
      <c r="G46" s="38"/>
      <c r="H46" s="38"/>
      <c r="I46" s="38"/>
      <c r="J46" s="38"/>
      <c r="K46" s="38"/>
      <c r="L46" s="38"/>
      <c r="M46" s="38"/>
      <c r="N46" s="38"/>
      <c r="O46" s="38"/>
      <c r="P46" s="38"/>
      <c r="Q46" s="38"/>
      <c r="R46" s="38"/>
      <c r="S46" s="38"/>
      <c r="T46" s="38"/>
      <c r="U46" s="38"/>
      <c r="V46" s="38"/>
      <c r="W46" s="38"/>
      <c r="X46" s="38"/>
      <c r="Y46" s="38"/>
    </row>
    <row r="47" spans="1:25" x14ac:dyDescent="0.2">
      <c r="A47" s="37"/>
      <c r="B47" s="37"/>
      <c r="C47" s="38"/>
      <c r="D47" s="38"/>
      <c r="E47" s="38"/>
      <c r="F47" s="38"/>
      <c r="G47" s="38"/>
      <c r="H47" s="38"/>
      <c r="I47" s="38"/>
      <c r="J47" s="38"/>
      <c r="K47" s="38"/>
      <c r="L47" s="38"/>
      <c r="M47" s="38"/>
      <c r="N47" s="38"/>
      <c r="O47" s="38"/>
      <c r="P47" s="38"/>
      <c r="Q47" s="38"/>
      <c r="R47" s="38"/>
      <c r="S47" s="38"/>
      <c r="T47" s="38"/>
      <c r="U47" s="38"/>
      <c r="V47" s="38"/>
      <c r="W47" s="38"/>
      <c r="X47" s="38"/>
      <c r="Y47" s="38"/>
    </row>
    <row r="48" spans="1:25" x14ac:dyDescent="0.2">
      <c r="A48" s="37"/>
      <c r="B48" s="37"/>
      <c r="C48" s="38"/>
      <c r="D48" s="38"/>
      <c r="E48" s="38"/>
      <c r="F48" s="38"/>
      <c r="G48" s="38"/>
      <c r="H48" s="38"/>
      <c r="I48" s="38"/>
      <c r="J48" s="38"/>
      <c r="K48" s="38"/>
      <c r="L48" s="38"/>
      <c r="M48" s="38"/>
      <c r="N48" s="38"/>
      <c r="O48" s="38"/>
      <c r="P48" s="38"/>
      <c r="Q48" s="38"/>
      <c r="R48" s="38"/>
      <c r="S48" s="38"/>
      <c r="T48" s="38"/>
      <c r="U48" s="38"/>
      <c r="V48" s="38"/>
      <c r="W48" s="38"/>
      <c r="X48" s="38"/>
      <c r="Y48" s="38"/>
    </row>
    <row r="49" spans="1:25" x14ac:dyDescent="0.2">
      <c r="A49" s="37"/>
      <c r="B49" s="37"/>
      <c r="C49" s="38"/>
      <c r="D49" s="38"/>
      <c r="E49" s="38"/>
      <c r="F49" s="38"/>
      <c r="G49" s="38"/>
      <c r="H49" s="38"/>
      <c r="I49" s="38"/>
      <c r="J49" s="38"/>
      <c r="K49" s="38"/>
      <c r="L49" s="38"/>
      <c r="M49" s="38"/>
      <c r="N49" s="38"/>
      <c r="O49" s="38"/>
      <c r="P49" s="38"/>
      <c r="Q49" s="38"/>
      <c r="R49" s="38"/>
      <c r="S49" s="38"/>
      <c r="T49" s="38"/>
      <c r="U49" s="38"/>
      <c r="V49" s="38"/>
      <c r="W49" s="38"/>
      <c r="X49" s="38"/>
      <c r="Y49" s="38"/>
    </row>
    <row r="50" spans="1:25" x14ac:dyDescent="0.2">
      <c r="A50" s="37"/>
      <c r="B50" s="37"/>
      <c r="C50" s="38"/>
      <c r="D50" s="38"/>
      <c r="E50" s="38"/>
      <c r="F50" s="38"/>
      <c r="G50" s="38"/>
      <c r="H50" s="38"/>
      <c r="I50" s="38"/>
      <c r="J50" s="38"/>
      <c r="K50" s="38"/>
      <c r="L50" s="38"/>
      <c r="M50" s="38"/>
      <c r="N50" s="38"/>
      <c r="O50" s="38"/>
      <c r="P50" s="38"/>
      <c r="Q50" s="38"/>
      <c r="R50" s="38"/>
      <c r="S50" s="38"/>
      <c r="T50" s="38"/>
      <c r="U50" s="38"/>
      <c r="V50" s="38"/>
      <c r="W50" s="38"/>
      <c r="X50" s="38"/>
      <c r="Y50" s="38"/>
    </row>
    <row r="51" spans="1:25" x14ac:dyDescent="0.2">
      <c r="A51" s="37"/>
      <c r="B51" s="37"/>
      <c r="C51" s="38"/>
      <c r="D51" s="38"/>
      <c r="E51" s="38"/>
      <c r="F51" s="38"/>
      <c r="G51" s="38"/>
      <c r="H51" s="38"/>
      <c r="I51" s="38"/>
      <c r="J51" s="38"/>
      <c r="K51" s="38"/>
      <c r="L51" s="38"/>
      <c r="M51" s="38"/>
      <c r="N51" s="38"/>
      <c r="O51" s="38"/>
      <c r="P51" s="38"/>
      <c r="Q51" s="38"/>
      <c r="R51" s="38"/>
      <c r="S51" s="38"/>
      <c r="T51" s="38"/>
      <c r="U51" s="38"/>
      <c r="V51" s="38"/>
      <c r="W51" s="38"/>
      <c r="X51" s="38"/>
      <c r="Y51" s="38"/>
    </row>
    <row r="52" spans="1:25" x14ac:dyDescent="0.2">
      <c r="A52" s="37"/>
      <c r="B52" s="37"/>
      <c r="C52" s="38"/>
      <c r="D52" s="38"/>
      <c r="E52" s="38"/>
      <c r="F52" s="38"/>
      <c r="G52" s="38"/>
      <c r="H52" s="38"/>
      <c r="I52" s="38"/>
      <c r="J52" s="38"/>
      <c r="K52" s="38"/>
      <c r="L52" s="38"/>
      <c r="M52" s="38"/>
      <c r="N52" s="38"/>
      <c r="O52" s="38"/>
      <c r="P52" s="38"/>
      <c r="Q52" s="38"/>
      <c r="R52" s="38"/>
      <c r="S52" s="38"/>
      <c r="T52" s="38"/>
      <c r="U52" s="38"/>
      <c r="V52" s="38"/>
      <c r="W52" s="38"/>
      <c r="X52" s="38"/>
      <c r="Y52" s="38"/>
    </row>
    <row r="53" spans="1:25" x14ac:dyDescent="0.2">
      <c r="A53" s="37"/>
      <c r="B53" s="37"/>
      <c r="C53" s="38"/>
      <c r="D53" s="38"/>
      <c r="E53" s="38"/>
      <c r="F53" s="38"/>
      <c r="G53" s="38"/>
      <c r="H53" s="38"/>
      <c r="I53" s="38"/>
      <c r="J53" s="38"/>
      <c r="K53" s="38"/>
      <c r="L53" s="38"/>
      <c r="M53" s="38"/>
      <c r="N53" s="38"/>
      <c r="O53" s="38"/>
      <c r="P53" s="38"/>
      <c r="Q53" s="38"/>
      <c r="R53" s="38"/>
      <c r="S53" s="38"/>
      <c r="T53" s="38"/>
      <c r="U53" s="38"/>
      <c r="V53" s="38"/>
      <c r="W53" s="38"/>
      <c r="X53" s="38"/>
      <c r="Y53" s="38"/>
    </row>
    <row r="54" spans="1:25" x14ac:dyDescent="0.2">
      <c r="A54" s="37"/>
      <c r="B54" s="37"/>
      <c r="C54" s="38"/>
      <c r="D54" s="38"/>
      <c r="E54" s="38"/>
      <c r="F54" s="38"/>
      <c r="G54" s="38"/>
      <c r="H54" s="38"/>
      <c r="I54" s="38"/>
      <c r="J54" s="38"/>
      <c r="K54" s="38"/>
      <c r="L54" s="38"/>
      <c r="M54" s="38"/>
      <c r="N54" s="38"/>
      <c r="O54" s="38"/>
      <c r="P54" s="38"/>
      <c r="Q54" s="38"/>
      <c r="R54" s="38"/>
      <c r="S54" s="38"/>
      <c r="T54" s="38"/>
      <c r="U54" s="38"/>
      <c r="V54" s="38"/>
      <c r="W54" s="38"/>
      <c r="X54" s="38"/>
      <c r="Y54" s="38"/>
    </row>
    <row r="55" spans="1:25" x14ac:dyDescent="0.2">
      <c r="A55" s="37"/>
      <c r="B55" s="37"/>
      <c r="C55" s="38"/>
      <c r="D55" s="38"/>
      <c r="E55" s="38"/>
      <c r="F55" s="38"/>
      <c r="G55" s="38"/>
      <c r="H55" s="38"/>
      <c r="I55" s="38"/>
      <c r="J55" s="38"/>
      <c r="K55" s="38"/>
      <c r="L55" s="38"/>
      <c r="M55" s="38"/>
      <c r="N55" s="38"/>
      <c r="O55" s="38"/>
      <c r="P55" s="38"/>
      <c r="Q55" s="38"/>
      <c r="R55" s="38"/>
      <c r="S55" s="38"/>
      <c r="T55" s="38"/>
      <c r="U55" s="38"/>
      <c r="V55" s="38"/>
      <c r="W55" s="38"/>
      <c r="X55" s="38"/>
      <c r="Y55" s="38"/>
    </row>
    <row r="56" spans="1:25" x14ac:dyDescent="0.2">
      <c r="A56" s="37"/>
      <c r="B56" s="37"/>
      <c r="C56" s="38"/>
      <c r="D56" s="38"/>
      <c r="E56" s="38"/>
      <c r="F56" s="38"/>
      <c r="G56" s="38"/>
      <c r="H56" s="38"/>
      <c r="I56" s="38"/>
      <c r="J56" s="38"/>
      <c r="K56" s="38"/>
      <c r="L56" s="38"/>
      <c r="M56" s="38"/>
      <c r="N56" s="38"/>
      <c r="O56" s="38"/>
      <c r="P56" s="38"/>
      <c r="Q56" s="38"/>
      <c r="R56" s="38"/>
      <c r="S56" s="38"/>
      <c r="T56" s="38"/>
      <c r="U56" s="38"/>
      <c r="V56" s="38"/>
      <c r="W56" s="38"/>
      <c r="X56" s="38"/>
      <c r="Y56" s="38"/>
    </row>
    <row r="57" spans="1:25" x14ac:dyDescent="0.2">
      <c r="A57" s="37"/>
      <c r="B57" s="37"/>
      <c r="C57" s="38"/>
      <c r="D57" s="38"/>
      <c r="E57" s="38"/>
      <c r="F57" s="38"/>
      <c r="G57" s="38"/>
      <c r="H57" s="38"/>
      <c r="I57" s="38"/>
      <c r="J57" s="38"/>
      <c r="K57" s="38"/>
      <c r="L57" s="38"/>
      <c r="M57" s="38"/>
      <c r="N57" s="38"/>
      <c r="O57" s="38"/>
      <c r="P57" s="38"/>
      <c r="Q57" s="38"/>
      <c r="R57" s="38"/>
      <c r="S57" s="38"/>
      <c r="T57" s="38"/>
      <c r="U57" s="38"/>
      <c r="V57" s="38"/>
      <c r="W57" s="38"/>
      <c r="X57" s="38"/>
      <c r="Y57" s="38"/>
    </row>
    <row r="58" spans="1:25" x14ac:dyDescent="0.2">
      <c r="A58" s="37"/>
      <c r="B58" s="37"/>
      <c r="C58" s="38"/>
      <c r="D58" s="38"/>
      <c r="E58" s="38"/>
      <c r="F58" s="38"/>
      <c r="G58" s="38"/>
      <c r="H58" s="38"/>
      <c r="I58" s="38"/>
      <c r="J58" s="38"/>
      <c r="K58" s="38"/>
      <c r="L58" s="38"/>
      <c r="M58" s="38"/>
      <c r="N58" s="38"/>
      <c r="O58" s="38"/>
      <c r="P58" s="38"/>
      <c r="Q58" s="38"/>
      <c r="R58" s="38"/>
      <c r="S58" s="38"/>
      <c r="T58" s="38"/>
      <c r="U58" s="38"/>
      <c r="V58" s="38"/>
      <c r="W58" s="38"/>
      <c r="X58" s="38"/>
      <c r="Y58" s="38"/>
    </row>
    <row r="59" spans="1:25" x14ac:dyDescent="0.2">
      <c r="A59" s="37"/>
      <c r="B59" s="37"/>
      <c r="C59" s="38"/>
      <c r="D59" s="38"/>
      <c r="E59" s="38"/>
      <c r="F59" s="38"/>
      <c r="G59" s="38"/>
      <c r="H59" s="38"/>
      <c r="I59" s="38"/>
      <c r="J59" s="38"/>
      <c r="K59" s="38"/>
      <c r="L59" s="38"/>
      <c r="M59" s="38"/>
      <c r="N59" s="38"/>
      <c r="O59" s="38"/>
      <c r="P59" s="38"/>
      <c r="Q59" s="38"/>
      <c r="R59" s="38"/>
      <c r="S59" s="38"/>
      <c r="T59" s="38"/>
      <c r="U59" s="38"/>
      <c r="V59" s="38"/>
      <c r="W59" s="38"/>
      <c r="X59" s="38"/>
      <c r="Y59" s="38"/>
    </row>
    <row r="60" spans="1:25" x14ac:dyDescent="0.2">
      <c r="A60" s="37"/>
      <c r="B60" s="37"/>
      <c r="C60" s="38"/>
      <c r="D60" s="38"/>
      <c r="E60" s="38"/>
      <c r="F60" s="38"/>
      <c r="G60" s="38"/>
      <c r="H60" s="38"/>
      <c r="I60" s="38"/>
      <c r="J60" s="38"/>
      <c r="K60" s="38"/>
      <c r="L60" s="38"/>
      <c r="M60" s="38"/>
      <c r="N60" s="38"/>
      <c r="O60" s="38"/>
      <c r="P60" s="38"/>
      <c r="Q60" s="38"/>
      <c r="R60" s="38"/>
      <c r="S60" s="38"/>
      <c r="T60" s="38"/>
      <c r="U60" s="38"/>
      <c r="V60" s="38"/>
      <c r="W60" s="38"/>
      <c r="X60" s="38"/>
      <c r="Y60" s="38"/>
    </row>
    <row r="61" spans="1:25" x14ac:dyDescent="0.2">
      <c r="A61" s="37"/>
      <c r="B61" s="37"/>
      <c r="C61" s="38"/>
      <c r="D61" s="38"/>
      <c r="E61" s="38"/>
      <c r="F61" s="38"/>
      <c r="G61" s="38"/>
      <c r="H61" s="38"/>
      <c r="I61" s="38"/>
      <c r="J61" s="38"/>
      <c r="K61" s="38"/>
      <c r="L61" s="38"/>
      <c r="M61" s="38"/>
      <c r="N61" s="38"/>
      <c r="O61" s="38"/>
      <c r="P61" s="38"/>
      <c r="Q61" s="38"/>
      <c r="R61" s="38"/>
      <c r="S61" s="38"/>
      <c r="T61" s="38"/>
      <c r="U61" s="38"/>
      <c r="V61" s="38"/>
      <c r="W61" s="38"/>
      <c r="X61" s="38"/>
      <c r="Y61" s="38"/>
    </row>
    <row r="62" spans="1:25" x14ac:dyDescent="0.2">
      <c r="A62" s="37"/>
      <c r="B62" s="37"/>
      <c r="C62" s="38"/>
      <c r="D62" s="38"/>
      <c r="E62" s="38"/>
      <c r="F62" s="38"/>
      <c r="G62" s="38"/>
      <c r="H62" s="38"/>
      <c r="I62" s="38"/>
      <c r="J62" s="38"/>
      <c r="K62" s="38"/>
      <c r="L62" s="38"/>
      <c r="M62" s="38"/>
      <c r="N62" s="38"/>
      <c r="O62" s="38"/>
      <c r="P62" s="38"/>
      <c r="Q62" s="38"/>
      <c r="R62" s="38"/>
      <c r="S62" s="38"/>
      <c r="T62" s="38"/>
      <c r="U62" s="38"/>
      <c r="V62" s="38"/>
      <c r="W62" s="38"/>
      <c r="X62" s="38"/>
      <c r="Y62" s="38"/>
    </row>
    <row r="63" spans="1:25" x14ac:dyDescent="0.2">
      <c r="A63" s="37"/>
      <c r="B63" s="37"/>
      <c r="C63" s="38"/>
      <c r="D63" s="38"/>
      <c r="E63" s="38"/>
      <c r="F63" s="38"/>
      <c r="G63" s="38"/>
      <c r="H63" s="38"/>
      <c r="I63" s="38"/>
      <c r="J63" s="38"/>
      <c r="K63" s="38"/>
      <c r="L63" s="38"/>
      <c r="M63" s="38"/>
      <c r="N63" s="38"/>
      <c r="O63" s="38"/>
      <c r="P63" s="38"/>
      <c r="Q63" s="38"/>
      <c r="R63" s="38"/>
      <c r="S63" s="38"/>
      <c r="T63" s="38"/>
      <c r="U63" s="38"/>
      <c r="V63" s="38"/>
      <c r="W63" s="38"/>
      <c r="X63" s="38"/>
      <c r="Y63" s="38"/>
    </row>
    <row r="64" spans="1:25" x14ac:dyDescent="0.2">
      <c r="A64" s="37"/>
      <c r="B64" s="37"/>
      <c r="C64" s="38"/>
      <c r="D64" s="38"/>
      <c r="E64" s="38"/>
      <c r="F64" s="38"/>
      <c r="G64" s="38"/>
      <c r="H64" s="38"/>
      <c r="I64" s="38"/>
      <c r="J64" s="38"/>
      <c r="K64" s="38"/>
      <c r="L64" s="38"/>
      <c r="M64" s="38"/>
      <c r="N64" s="38"/>
      <c r="O64" s="38"/>
      <c r="P64" s="38"/>
      <c r="Q64" s="38"/>
      <c r="R64" s="38"/>
      <c r="S64" s="38"/>
      <c r="T64" s="38"/>
      <c r="U64" s="38"/>
      <c r="V64" s="38"/>
      <c r="W64" s="38"/>
      <c r="X64" s="38"/>
      <c r="Y64" s="38"/>
    </row>
    <row r="65" spans="1:26" x14ac:dyDescent="0.2">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row>
    <row r="66" spans="1:26" x14ac:dyDescent="0.2">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row>
    <row r="67" spans="1:26" x14ac:dyDescent="0.2">
      <c r="A67" s="37"/>
      <c r="B67" s="37"/>
      <c r="G67" s="37"/>
      <c r="H67" s="37"/>
      <c r="I67" s="37"/>
      <c r="J67" s="37"/>
      <c r="K67" s="37"/>
      <c r="L67" s="37"/>
      <c r="M67" s="37"/>
      <c r="N67" s="37"/>
      <c r="O67" s="37"/>
      <c r="P67" s="37"/>
      <c r="Q67" s="37"/>
      <c r="R67" s="37"/>
      <c r="S67" s="37"/>
      <c r="T67" s="37"/>
      <c r="U67" s="37"/>
      <c r="V67" s="37"/>
      <c r="W67" s="37"/>
      <c r="X67" s="37"/>
      <c r="Y67" s="37"/>
      <c r="Z67" s="37"/>
    </row>
    <row r="68" spans="1:26" x14ac:dyDescent="0.2">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row>
    <row r="69" spans="1:26" x14ac:dyDescent="0.2">
      <c r="A69" s="37"/>
      <c r="B69" s="37"/>
      <c r="C69" s="37"/>
      <c r="D69" s="37"/>
      <c r="E69" s="37"/>
      <c r="F69" s="37"/>
      <c r="G69" s="37"/>
      <c r="H69" s="37"/>
      <c r="I69" s="100"/>
      <c r="J69" s="100"/>
      <c r="K69" s="101"/>
      <c r="L69" s="101"/>
      <c r="M69" s="37"/>
      <c r="N69" s="37"/>
      <c r="O69" s="37"/>
      <c r="P69" s="37"/>
      <c r="Q69" s="37"/>
      <c r="R69" s="37"/>
      <c r="S69" s="37"/>
      <c r="T69" s="37"/>
      <c r="U69" s="37"/>
      <c r="V69" s="37"/>
      <c r="W69" s="37"/>
      <c r="X69" s="37"/>
      <c r="Y69" s="37"/>
      <c r="Z69" s="37"/>
    </row>
    <row r="70" spans="1:26" x14ac:dyDescent="0.2">
      <c r="A70" s="37"/>
      <c r="B70" s="37"/>
      <c r="C70" s="37"/>
      <c r="D70" s="37"/>
      <c r="E70" s="37"/>
      <c r="F70" s="37"/>
      <c r="G70" s="37"/>
      <c r="H70" s="37"/>
      <c r="I70" s="100"/>
      <c r="J70" s="100"/>
      <c r="K70" s="101"/>
      <c r="L70" s="101"/>
      <c r="M70" s="37"/>
      <c r="N70" s="37"/>
      <c r="O70" s="37"/>
      <c r="P70" s="37"/>
      <c r="Q70" s="37"/>
      <c r="R70" s="37"/>
      <c r="S70" s="37"/>
      <c r="T70" s="37"/>
      <c r="U70" s="37"/>
      <c r="V70" s="37"/>
      <c r="W70" s="37"/>
      <c r="X70" s="37"/>
      <c r="Y70" s="37"/>
      <c r="Z70" s="37"/>
    </row>
    <row r="71" spans="1:26" x14ac:dyDescent="0.2">
      <c r="A71" s="37"/>
      <c r="B71" s="37"/>
      <c r="C71" s="37"/>
      <c r="D71" s="37"/>
      <c r="E71" s="37"/>
      <c r="F71" s="37"/>
      <c r="G71" s="37"/>
      <c r="H71" s="37"/>
      <c r="I71" s="100"/>
      <c r="J71" s="100"/>
      <c r="K71" s="101"/>
      <c r="L71" s="101"/>
      <c r="M71" s="37"/>
      <c r="N71" s="37"/>
      <c r="O71" s="37"/>
      <c r="P71" s="37"/>
      <c r="Q71" s="37"/>
      <c r="R71" s="37"/>
      <c r="S71" s="37"/>
      <c r="T71" s="37"/>
      <c r="U71" s="37"/>
      <c r="V71" s="37"/>
      <c r="W71" s="37"/>
      <c r="X71" s="37"/>
      <c r="Y71" s="37"/>
      <c r="Z71" s="37"/>
    </row>
    <row r="72" spans="1:26" x14ac:dyDescent="0.2">
      <c r="A72" s="37"/>
      <c r="B72" s="37"/>
      <c r="C72" s="37"/>
      <c r="D72" s="37"/>
      <c r="E72" s="37"/>
      <c r="F72" s="37"/>
      <c r="G72" s="37"/>
      <c r="H72" s="37"/>
      <c r="I72" s="100"/>
      <c r="J72" s="100"/>
      <c r="K72" s="101"/>
      <c r="L72" s="101"/>
      <c r="M72" s="37"/>
      <c r="N72" s="37"/>
      <c r="O72" s="37"/>
      <c r="P72" s="37"/>
      <c r="Q72" s="37"/>
      <c r="R72" s="37"/>
      <c r="S72" s="37"/>
      <c r="T72" s="37"/>
      <c r="U72" s="37"/>
      <c r="V72" s="37"/>
      <c r="W72" s="37"/>
      <c r="X72" s="37"/>
      <c r="Y72" s="37"/>
      <c r="Z72" s="37"/>
    </row>
    <row r="73" spans="1:26" x14ac:dyDescent="0.2">
      <c r="A73" s="37"/>
      <c r="B73" s="37"/>
      <c r="C73" s="37"/>
      <c r="D73" s="37"/>
      <c r="E73" s="37"/>
      <c r="F73" s="37"/>
      <c r="G73" s="37"/>
      <c r="H73" s="37"/>
      <c r="I73" s="100"/>
      <c r="J73" s="100"/>
      <c r="K73" s="101"/>
      <c r="L73" s="101"/>
      <c r="M73" s="37"/>
      <c r="N73" s="37"/>
      <c r="O73" s="37"/>
      <c r="P73" s="37"/>
      <c r="Q73" s="37"/>
      <c r="R73" s="37"/>
      <c r="S73" s="37"/>
      <c r="T73" s="37"/>
      <c r="U73" s="37"/>
      <c r="V73" s="37"/>
      <c r="W73" s="37"/>
      <c r="X73" s="37"/>
      <c r="Y73" s="37"/>
      <c r="Z73" s="37"/>
    </row>
    <row r="74" spans="1:26" x14ac:dyDescent="0.2">
      <c r="A74" s="37"/>
      <c r="B74" s="37"/>
      <c r="C74" s="99" t="s">
        <v>83</v>
      </c>
      <c r="D74" s="99"/>
      <c r="E74" s="99"/>
      <c r="F74" s="99"/>
      <c r="G74" s="37"/>
      <c r="H74" s="37"/>
      <c r="I74" s="37"/>
      <c r="J74" s="37"/>
      <c r="K74" s="37"/>
      <c r="L74" s="37"/>
      <c r="M74" s="37"/>
      <c r="N74" s="37"/>
      <c r="O74" s="37"/>
      <c r="P74" s="37"/>
      <c r="Q74" s="37"/>
      <c r="R74" s="37"/>
      <c r="S74" s="37"/>
      <c r="T74" s="37"/>
      <c r="U74" s="37"/>
      <c r="V74" s="37"/>
      <c r="W74" s="37"/>
      <c r="X74" s="37"/>
      <c r="Y74" s="37"/>
      <c r="Z74" s="37"/>
    </row>
    <row r="75" spans="1:26" x14ac:dyDescent="0.2">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row>
    <row r="76" spans="1:26" x14ac:dyDescent="0.2">
      <c r="A76" s="37"/>
      <c r="B76" s="37"/>
      <c r="C76" s="37"/>
      <c r="D76" s="37"/>
      <c r="E76" s="37"/>
      <c r="F76" s="37"/>
      <c r="G76" s="37"/>
      <c r="H76" s="37"/>
      <c r="I76" s="37"/>
      <c r="J76" s="37"/>
      <c r="K76" s="37"/>
      <c r="L76" s="37"/>
      <c r="M76" s="37"/>
      <c r="N76" s="37"/>
      <c r="O76" s="37"/>
      <c r="P76" s="37"/>
      <c r="Q76" s="37"/>
      <c r="R76" s="37"/>
      <c r="S76" s="37"/>
      <c r="T76" s="37"/>
      <c r="U76" s="37"/>
      <c r="V76" s="37"/>
      <c r="W76" s="37"/>
      <c r="X76" s="37"/>
      <c r="Y76" s="37"/>
      <c r="Z76" s="37"/>
    </row>
    <row r="77" spans="1:26" x14ac:dyDescent="0.2">
      <c r="A77" s="37"/>
      <c r="B77" s="37"/>
      <c r="C77" s="91" t="s">
        <v>1</v>
      </c>
      <c r="D77" s="91"/>
      <c r="E77" s="94">
        <f>Sheet1!Y28</f>
        <v>15837697.52</v>
      </c>
      <c r="F77" s="94"/>
      <c r="G77" s="37"/>
      <c r="H77" s="37"/>
      <c r="I77" s="37"/>
      <c r="J77" s="37"/>
      <c r="K77" s="37"/>
      <c r="L77" s="37"/>
      <c r="M77" s="37"/>
      <c r="N77" s="37"/>
      <c r="O77" s="37"/>
      <c r="P77" s="37"/>
      <c r="Q77" s="37"/>
      <c r="R77" s="37"/>
      <c r="S77" s="37"/>
      <c r="T77" s="37"/>
      <c r="U77" s="37"/>
      <c r="V77" s="37"/>
      <c r="W77" s="37"/>
      <c r="X77" s="37"/>
      <c r="Y77" s="37"/>
      <c r="Z77" s="37"/>
    </row>
    <row r="78" spans="1:26" x14ac:dyDescent="0.2">
      <c r="A78" s="37"/>
      <c r="B78" s="37"/>
      <c r="C78" s="91" t="s">
        <v>40</v>
      </c>
      <c r="D78" s="91"/>
      <c r="E78" s="94">
        <f>Sheet1!Y29</f>
        <v>1.45</v>
      </c>
      <c r="F78" s="94"/>
      <c r="G78" s="37"/>
      <c r="H78" s="37"/>
      <c r="I78" s="37"/>
      <c r="J78" s="37"/>
      <c r="K78" s="37"/>
      <c r="L78" s="37"/>
      <c r="M78" s="37"/>
      <c r="N78" s="37"/>
      <c r="O78" s="37"/>
      <c r="P78" s="37"/>
      <c r="Q78" s="37"/>
      <c r="R78" s="37"/>
      <c r="S78" s="37"/>
      <c r="T78" s="37"/>
      <c r="U78" s="37"/>
      <c r="V78" s="37"/>
      <c r="W78" s="37"/>
      <c r="X78" s="37"/>
      <c r="Y78" s="37"/>
      <c r="Z78" s="37"/>
    </row>
    <row r="79" spans="1:26" x14ac:dyDescent="0.2">
      <c r="A79" s="37"/>
      <c r="B79" s="37"/>
      <c r="C79" s="91" t="s">
        <v>41</v>
      </c>
      <c r="D79" s="91"/>
      <c r="E79" s="94">
        <f>Sheet1!Y30</f>
        <v>780338.11265418108</v>
      </c>
      <c r="F79" s="94"/>
      <c r="G79" s="37"/>
      <c r="H79" s="37"/>
      <c r="I79" s="37"/>
      <c r="J79" s="37"/>
      <c r="K79" s="37"/>
      <c r="L79" s="37"/>
      <c r="M79" s="37"/>
      <c r="N79" s="37"/>
      <c r="O79" s="37"/>
      <c r="P79" s="37"/>
      <c r="Q79" s="37"/>
      <c r="R79" s="37"/>
      <c r="S79" s="37"/>
      <c r="T79" s="37"/>
      <c r="U79" s="37"/>
      <c r="V79" s="37"/>
      <c r="W79" s="37"/>
      <c r="X79" s="37"/>
      <c r="Y79" s="37"/>
      <c r="Z79" s="37"/>
    </row>
    <row r="80" spans="1:26" x14ac:dyDescent="0.2">
      <c r="A80" s="37"/>
      <c r="B80" s="37"/>
      <c r="C80" s="91" t="s">
        <v>5</v>
      </c>
      <c r="D80" s="91"/>
      <c r="E80" s="94">
        <f>Sheet1!Y31</f>
        <v>-2.0181385233234643E-2</v>
      </c>
      <c r="F80" s="94"/>
      <c r="G80" s="37"/>
      <c r="H80" s="37"/>
      <c r="I80" s="37"/>
      <c r="J80" s="37"/>
      <c r="K80" s="37"/>
      <c r="L80" s="37"/>
      <c r="M80" s="37"/>
      <c r="N80" s="37"/>
      <c r="O80" s="37"/>
      <c r="P80" s="37"/>
      <c r="Q80" s="37"/>
      <c r="R80" s="37"/>
      <c r="S80" s="37"/>
      <c r="T80" s="37"/>
      <c r="U80" s="37"/>
      <c r="V80" s="37"/>
      <c r="W80" s="37"/>
      <c r="X80" s="37"/>
      <c r="Y80" s="37"/>
      <c r="Z80" s="37"/>
    </row>
    <row r="81" spans="1:29" x14ac:dyDescent="0.2">
      <c r="A81" s="37"/>
      <c r="B81" s="37"/>
      <c r="C81" s="91" t="s">
        <v>42</v>
      </c>
      <c r="D81" s="91"/>
      <c r="E81" s="94">
        <f>Sheet1!Y32</f>
        <v>0.16756303948709339</v>
      </c>
      <c r="F81" s="94"/>
      <c r="G81" s="37"/>
      <c r="H81" s="37"/>
      <c r="I81" s="37"/>
      <c r="J81" s="37"/>
      <c r="K81" s="37"/>
      <c r="L81" s="37"/>
      <c r="M81" s="37"/>
      <c r="N81" s="37"/>
      <c r="O81" s="37"/>
      <c r="P81" s="37"/>
      <c r="Q81" s="37"/>
      <c r="R81" s="37"/>
      <c r="S81" s="37"/>
      <c r="T81" s="37"/>
      <c r="U81" s="37"/>
      <c r="V81" s="37"/>
      <c r="W81" s="37"/>
      <c r="X81" s="37"/>
      <c r="Y81" s="37"/>
      <c r="Z81" s="37"/>
    </row>
    <row r="82" spans="1:29" x14ac:dyDescent="0.2">
      <c r="A82" s="37"/>
      <c r="B82" s="37"/>
      <c r="C82" s="37"/>
      <c r="D82" s="37"/>
      <c r="E82" s="37"/>
      <c r="F82" s="37"/>
      <c r="G82" s="37"/>
      <c r="H82" s="37"/>
      <c r="I82" s="37"/>
      <c r="J82" s="37"/>
      <c r="K82" s="37"/>
      <c r="L82" s="37"/>
      <c r="M82" s="37"/>
      <c r="N82" s="37"/>
      <c r="O82" s="37"/>
      <c r="P82" s="37"/>
      <c r="Q82" s="37"/>
      <c r="R82" s="37"/>
      <c r="S82" s="37"/>
      <c r="T82" s="37"/>
      <c r="U82" s="37"/>
      <c r="V82" s="37"/>
      <c r="W82" s="37"/>
      <c r="X82" s="37"/>
      <c r="Y82" s="37"/>
      <c r="Z82" s="37"/>
    </row>
    <row r="83" spans="1:29" x14ac:dyDescent="0.2">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row>
    <row r="84" spans="1:29" x14ac:dyDescent="0.2">
      <c r="A84" s="37"/>
      <c r="B84" s="37"/>
      <c r="C84" s="37"/>
      <c r="D84" s="37"/>
      <c r="E84" s="37"/>
      <c r="F84" s="37"/>
      <c r="G84" s="37"/>
      <c r="H84" s="37"/>
      <c r="I84" s="37"/>
      <c r="J84" s="37"/>
      <c r="K84" s="37"/>
      <c r="L84" s="37"/>
      <c r="M84" s="37"/>
      <c r="N84" s="37"/>
      <c r="O84" s="37"/>
      <c r="P84" s="37"/>
      <c r="Q84" s="37"/>
      <c r="R84" s="37"/>
      <c r="S84" s="37"/>
      <c r="T84" s="37"/>
      <c r="U84" s="37"/>
      <c r="V84" s="37"/>
      <c r="W84" s="37"/>
      <c r="X84" s="37"/>
      <c r="Y84" s="37"/>
      <c r="Z84" s="37"/>
    </row>
    <row r="85" spans="1:29" x14ac:dyDescent="0.2">
      <c r="A85" s="37"/>
      <c r="B85" s="37"/>
      <c r="C85" s="37"/>
      <c r="D85" s="37"/>
      <c r="E85" s="37"/>
      <c r="F85" s="37"/>
      <c r="G85" s="37"/>
      <c r="H85" s="37"/>
      <c r="I85" s="37"/>
      <c r="J85" s="37"/>
      <c r="K85" s="37"/>
      <c r="L85" s="37"/>
      <c r="M85" s="37"/>
      <c r="N85" s="37"/>
      <c r="O85" s="37"/>
      <c r="P85" s="37"/>
      <c r="Q85" s="37"/>
      <c r="R85" s="37"/>
      <c r="S85" s="37"/>
      <c r="T85" s="37"/>
      <c r="U85" s="37"/>
      <c r="V85" s="37"/>
      <c r="W85" s="37"/>
      <c r="X85" s="37"/>
      <c r="Y85" s="37"/>
      <c r="Z85" s="37"/>
    </row>
    <row r="86" spans="1:29" x14ac:dyDescent="0.2">
      <c r="A86" s="37"/>
      <c r="B86" s="37"/>
      <c r="C86" s="37"/>
      <c r="D86" s="37"/>
      <c r="E86" s="37"/>
      <c r="F86" s="37"/>
      <c r="G86" s="37"/>
      <c r="H86" s="37"/>
      <c r="I86" s="98" t="s">
        <v>45</v>
      </c>
      <c r="J86" s="98"/>
      <c r="K86" s="98"/>
      <c r="L86" s="98"/>
      <c r="M86" s="98"/>
      <c r="N86" s="98"/>
      <c r="O86" s="98"/>
      <c r="P86" s="37"/>
      <c r="Q86" s="37"/>
      <c r="R86" s="37"/>
      <c r="S86" s="37"/>
      <c r="T86" s="37"/>
      <c r="U86" s="37"/>
      <c r="V86" s="37"/>
      <c r="W86" s="37"/>
      <c r="X86" s="37"/>
      <c r="Y86" s="37"/>
      <c r="Z86" s="37"/>
    </row>
    <row r="87" spans="1:29" x14ac:dyDescent="0.2">
      <c r="A87" s="37"/>
      <c r="B87" s="37"/>
      <c r="C87" s="37"/>
      <c r="D87" s="37"/>
      <c r="E87" s="37"/>
      <c r="F87" s="37"/>
      <c r="G87" s="37"/>
      <c r="H87" s="37"/>
      <c r="I87" s="98"/>
      <c r="J87" s="98"/>
      <c r="K87" s="98"/>
      <c r="L87" s="98"/>
      <c r="M87" s="98"/>
      <c r="N87" s="98"/>
      <c r="O87" s="98"/>
      <c r="P87" s="37"/>
      <c r="Q87" s="37"/>
      <c r="R87" s="37"/>
      <c r="S87" s="37"/>
      <c r="T87" s="37"/>
      <c r="U87" s="37"/>
      <c r="V87" s="37"/>
      <c r="W87" s="37"/>
      <c r="X87" s="37"/>
      <c r="Y87" s="37"/>
      <c r="Z87" s="37"/>
    </row>
    <row r="88" spans="1:29" x14ac:dyDescent="0.2">
      <c r="A88" s="37"/>
      <c r="B88" s="37"/>
      <c r="C88" s="37"/>
      <c r="D88" s="37"/>
      <c r="E88" s="37"/>
      <c r="F88" s="37"/>
      <c r="G88" s="37"/>
      <c r="H88" s="37"/>
      <c r="I88" s="37"/>
      <c r="J88" s="37"/>
      <c r="K88" s="37"/>
      <c r="L88" s="37"/>
      <c r="M88" s="37"/>
      <c r="N88" s="37"/>
      <c r="O88" s="37"/>
      <c r="P88" s="37"/>
      <c r="Q88" s="37"/>
      <c r="R88" s="37"/>
      <c r="S88" s="37"/>
      <c r="T88" s="37"/>
      <c r="U88" s="37"/>
      <c r="V88" s="37"/>
      <c r="W88" s="37"/>
      <c r="X88" s="37"/>
      <c r="Y88" s="37"/>
      <c r="Z88" s="37"/>
    </row>
    <row r="89" spans="1:29" x14ac:dyDescent="0.2">
      <c r="A89" s="37"/>
      <c r="B89" s="37"/>
      <c r="C89" s="37"/>
      <c r="D89" s="37"/>
      <c r="E89" s="37"/>
      <c r="F89" s="37"/>
      <c r="G89" s="37"/>
      <c r="H89" s="37"/>
      <c r="I89" s="37"/>
      <c r="J89" s="37"/>
      <c r="K89" s="37"/>
      <c r="L89" s="37"/>
      <c r="M89" s="37"/>
      <c r="N89" s="37"/>
      <c r="O89" s="37"/>
      <c r="P89" s="37"/>
      <c r="Q89" s="37"/>
      <c r="R89" s="37"/>
      <c r="S89" s="37"/>
      <c r="T89" s="37"/>
      <c r="U89" s="37"/>
      <c r="V89" s="37"/>
      <c r="W89" s="37"/>
      <c r="X89" s="37"/>
      <c r="Y89" s="37"/>
      <c r="Z89" s="37"/>
    </row>
    <row r="90" spans="1:29" x14ac:dyDescent="0.2">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row>
    <row r="91" spans="1:29" x14ac:dyDescent="0.2">
      <c r="A91" s="37"/>
      <c r="B91" s="37"/>
      <c r="C91" s="37"/>
      <c r="D91" s="37"/>
      <c r="E91" s="37"/>
      <c r="F91" s="37"/>
      <c r="G91" s="37"/>
      <c r="H91" s="37"/>
      <c r="I91" s="37"/>
      <c r="J91" s="37"/>
      <c r="K91" s="37"/>
      <c r="L91" s="37"/>
      <c r="M91" s="37"/>
      <c r="N91" s="37"/>
      <c r="O91" s="37"/>
      <c r="P91" s="37"/>
      <c r="Q91" s="37"/>
      <c r="R91" s="37"/>
      <c r="S91" s="37"/>
      <c r="T91" s="37"/>
      <c r="U91" s="37"/>
      <c r="V91" s="37"/>
      <c r="W91" s="37"/>
      <c r="X91" s="37"/>
      <c r="Y91" s="37"/>
      <c r="Z91" s="37"/>
    </row>
    <row r="92" spans="1:29" x14ac:dyDescent="0.2">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row>
    <row r="93" spans="1:29" x14ac:dyDescent="0.2">
      <c r="A93" s="37"/>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row>
    <row r="94" spans="1:29" x14ac:dyDescent="0.2">
      <c r="A94" s="37"/>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row>
    <row r="95" spans="1:29" x14ac:dyDescent="0.2">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row>
    <row r="96" spans="1:29" x14ac:dyDescent="0.2">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row>
    <row r="97" spans="1:29" x14ac:dyDescent="0.2">
      <c r="A97" s="37"/>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row>
    <row r="98" spans="1:29" x14ac:dyDescent="0.2">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row>
    <row r="99" spans="1:29" x14ac:dyDescent="0.2">
      <c r="A99" s="37"/>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row>
    <row r="100" spans="1:29" x14ac:dyDescent="0.2">
      <c r="A100" s="37"/>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row>
    <row r="101" spans="1:29" x14ac:dyDescent="0.2">
      <c r="A101" s="37"/>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row>
    <row r="102" spans="1:29" x14ac:dyDescent="0.2">
      <c r="A102" s="37"/>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row>
    <row r="103" spans="1:29" x14ac:dyDescent="0.2">
      <c r="A103" s="37"/>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row>
    <row r="104" spans="1:29" x14ac:dyDescent="0.2">
      <c r="A104" s="37"/>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row>
    <row r="105" spans="1:29" x14ac:dyDescent="0.2">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row>
    <row r="106" spans="1:29" x14ac:dyDescent="0.2">
      <c r="A106" s="37"/>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row>
    <row r="107" spans="1:29" x14ac:dyDescent="0.2">
      <c r="A107" s="37"/>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row>
    <row r="108" spans="1:29" x14ac:dyDescent="0.2">
      <c r="A108" s="37"/>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row>
    <row r="109" spans="1:29" x14ac:dyDescent="0.2">
      <c r="A109" s="37"/>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row>
    <row r="110" spans="1:29" x14ac:dyDescent="0.2">
      <c r="A110" s="37"/>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row>
    <row r="111" spans="1:29" x14ac:dyDescent="0.2">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row>
    <row r="112" spans="1:29" x14ac:dyDescent="0.2">
      <c r="A112" s="37"/>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row>
    <row r="113" spans="1:29" x14ac:dyDescent="0.2">
      <c r="A113" s="37"/>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row>
    <row r="114" spans="1:29" x14ac:dyDescent="0.2">
      <c r="A114" s="37"/>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row>
    <row r="115" spans="1:29" x14ac:dyDescent="0.2">
      <c r="A115" s="37"/>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row>
    <row r="116" spans="1:29" x14ac:dyDescent="0.2">
      <c r="A116" s="37"/>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row>
    <row r="117" spans="1:29" x14ac:dyDescent="0.2">
      <c r="A117" s="37"/>
      <c r="B117" s="37"/>
      <c r="C117" s="37"/>
      <c r="D117" s="37"/>
      <c r="E117" s="37"/>
      <c r="F117" s="37"/>
      <c r="G117" s="37"/>
      <c r="H117" s="98" t="s">
        <v>84</v>
      </c>
      <c r="I117" s="98"/>
      <c r="J117" s="98"/>
      <c r="K117" s="98"/>
      <c r="L117" s="98"/>
      <c r="M117" s="98"/>
      <c r="N117" s="98"/>
      <c r="O117" s="98"/>
      <c r="P117" s="98"/>
      <c r="Q117" s="37"/>
      <c r="R117" s="37"/>
      <c r="S117" s="37"/>
      <c r="T117" s="37"/>
      <c r="U117" s="37"/>
      <c r="V117" s="37"/>
      <c r="W117" s="37"/>
      <c r="X117" s="37"/>
      <c r="Y117" s="37"/>
      <c r="Z117" s="37"/>
      <c r="AA117" s="37"/>
      <c r="AB117" s="37"/>
      <c r="AC117" s="37"/>
    </row>
    <row r="118" spans="1:29" x14ac:dyDescent="0.2">
      <c r="A118" s="37"/>
      <c r="B118" s="37"/>
      <c r="C118" s="37"/>
      <c r="D118" s="37"/>
      <c r="E118" s="37"/>
      <c r="F118" s="37"/>
      <c r="G118" s="37"/>
      <c r="H118" s="98"/>
      <c r="I118" s="98"/>
      <c r="J118" s="98"/>
      <c r="K118" s="98"/>
      <c r="L118" s="98"/>
      <c r="M118" s="98"/>
      <c r="N118" s="98"/>
      <c r="O118" s="98"/>
      <c r="P118" s="98"/>
      <c r="Q118" s="37"/>
      <c r="R118" s="37"/>
      <c r="S118" s="37"/>
      <c r="T118" s="37"/>
      <c r="U118" s="37"/>
      <c r="V118" s="37"/>
      <c r="W118" s="37"/>
      <c r="X118" s="37"/>
      <c r="Y118" s="37"/>
      <c r="Z118" s="37"/>
      <c r="AA118" s="37"/>
      <c r="AB118" s="37"/>
      <c r="AC118" s="37"/>
    </row>
    <row r="119" spans="1:29" x14ac:dyDescent="0.2">
      <c r="A119" s="37"/>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row>
    <row r="120" spans="1:29" x14ac:dyDescent="0.2">
      <c r="A120" s="37"/>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row>
    <row r="121" spans="1:29" x14ac:dyDescent="0.2">
      <c r="A121" s="37"/>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row>
    <row r="122" spans="1:29" x14ac:dyDescent="0.2">
      <c r="A122" s="37"/>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row>
    <row r="123" spans="1:29" x14ac:dyDescent="0.2">
      <c r="A123" s="37"/>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row>
    <row r="124" spans="1:29" x14ac:dyDescent="0.2">
      <c r="A124" s="37"/>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row>
    <row r="125" spans="1:29" x14ac:dyDescent="0.2">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row>
    <row r="126" spans="1:29" x14ac:dyDescent="0.2">
      <c r="A126" s="37"/>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row>
    <row r="127" spans="1:29" x14ac:dyDescent="0.2">
      <c r="A127" s="37"/>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row>
    <row r="128" spans="1:29" x14ac:dyDescent="0.2">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row>
    <row r="129" spans="1:29" x14ac:dyDescent="0.2">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row>
    <row r="130" spans="1:29" x14ac:dyDescent="0.2">
      <c r="A130" s="37"/>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row>
    <row r="131" spans="1:29" x14ac:dyDescent="0.2">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row>
    <row r="132" spans="1:29" x14ac:dyDescent="0.2">
      <c r="A132" s="37"/>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row>
    <row r="133" spans="1:29" x14ac:dyDescent="0.2">
      <c r="A133" s="37"/>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row>
    <row r="134" spans="1:29" x14ac:dyDescent="0.2">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row>
    <row r="135" spans="1:29" x14ac:dyDescent="0.2">
      <c r="A135" s="37"/>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row>
    <row r="136" spans="1:29" x14ac:dyDescent="0.2">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row>
    <row r="137" spans="1:29" x14ac:dyDescent="0.2">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row>
    <row r="138" spans="1:29" x14ac:dyDescent="0.2">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row>
    <row r="139" spans="1:29" x14ac:dyDescent="0.2">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row>
    <row r="140" spans="1:29" x14ac:dyDescent="0.2">
      <c r="A140" s="37"/>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row>
    <row r="141" spans="1:29" x14ac:dyDescent="0.2">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row>
    <row r="142" spans="1:29" x14ac:dyDescent="0.2">
      <c r="A142" s="37"/>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row>
    <row r="143" spans="1:29" x14ac:dyDescent="0.2">
      <c r="A143" s="37"/>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row>
    <row r="144" spans="1:29" x14ac:dyDescent="0.2">
      <c r="A144" s="37"/>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row>
    <row r="145" spans="1:29" x14ac:dyDescent="0.2">
      <c r="A145" s="37"/>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row>
    <row r="146" spans="1:29" x14ac:dyDescent="0.2">
      <c r="A146" s="37"/>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row>
    <row r="147" spans="1:29" x14ac:dyDescent="0.2">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row>
    <row r="148" spans="1:29" x14ac:dyDescent="0.2">
      <c r="A148" s="37"/>
      <c r="B148" s="37"/>
      <c r="C148" s="37"/>
      <c r="D148" s="37"/>
      <c r="E148" s="37"/>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row>
    <row r="149" spans="1:29" x14ac:dyDescent="0.2">
      <c r="A149" s="37"/>
      <c r="B149" s="37"/>
      <c r="C149" s="37"/>
      <c r="D149" s="37"/>
      <c r="E149" s="37"/>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row>
    <row r="150" spans="1:29" x14ac:dyDescent="0.2">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row>
    <row r="151" spans="1:29" x14ac:dyDescent="0.2">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row>
    <row r="152" spans="1:29" x14ac:dyDescent="0.2">
      <c r="A152" s="37"/>
      <c r="B152" s="37"/>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row>
    <row r="153" spans="1:29" x14ac:dyDescent="0.2">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row>
    <row r="154" spans="1:29" x14ac:dyDescent="0.2">
      <c r="A154" s="37"/>
      <c r="B154" s="37"/>
      <c r="C154" s="37"/>
      <c r="D154" s="37"/>
      <c r="E154" s="37"/>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row>
    <row r="155" spans="1:29" x14ac:dyDescent="0.2">
      <c r="A155" s="37"/>
      <c r="B155" s="37"/>
      <c r="C155" s="37"/>
      <c r="D155" s="37"/>
      <c r="E155" s="37"/>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row>
    <row r="156" spans="1:29" x14ac:dyDescent="0.2">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row>
    <row r="157" spans="1:29" x14ac:dyDescent="0.2">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row>
    <row r="158" spans="1:29" x14ac:dyDescent="0.2">
      <c r="A158" s="37"/>
      <c r="B158" s="37"/>
      <c r="C158" s="37"/>
      <c r="D158" s="37"/>
      <c r="E158" s="37"/>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row>
    <row r="159" spans="1:29" x14ac:dyDescent="0.2">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row>
    <row r="160" spans="1:29" x14ac:dyDescent="0.2">
      <c r="A160" s="37"/>
      <c r="B160" s="37"/>
      <c r="C160" s="37"/>
      <c r="D160" s="37"/>
      <c r="E160" s="37"/>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row>
    <row r="161" spans="1:29" x14ac:dyDescent="0.2">
      <c r="A161" s="37"/>
      <c r="B161" s="37"/>
      <c r="C161" s="37"/>
      <c r="D161" s="37"/>
      <c r="E161" s="37"/>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row>
    <row r="162" spans="1:29" x14ac:dyDescent="0.2">
      <c r="A162" s="37"/>
      <c r="B162" s="37"/>
      <c r="C162" s="37"/>
      <c r="D162" s="37"/>
      <c r="E162" s="37"/>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row>
    <row r="163" spans="1:29" x14ac:dyDescent="0.2">
      <c r="A163" s="37"/>
      <c r="B163" s="37"/>
      <c r="C163" s="37"/>
      <c r="D163" s="37"/>
      <c r="E163" s="37"/>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row>
    <row r="164" spans="1:29" x14ac:dyDescent="0.2">
      <c r="A164" s="37"/>
      <c r="B164" s="37"/>
      <c r="C164" s="37"/>
      <c r="D164" s="37"/>
      <c r="E164" s="37"/>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row>
    <row r="165" spans="1:29" x14ac:dyDescent="0.2">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row>
    <row r="166" spans="1:29" x14ac:dyDescent="0.2">
      <c r="A166" s="37"/>
      <c r="B166" s="37"/>
      <c r="C166" s="37"/>
      <c r="D166" s="37"/>
      <c r="E166" s="37"/>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row>
    <row r="167" spans="1:29" x14ac:dyDescent="0.2">
      <c r="A167" s="37"/>
      <c r="B167" s="37"/>
      <c r="C167" s="37"/>
      <c r="D167" s="37"/>
      <c r="E167" s="37"/>
      <c r="F167" s="37"/>
      <c r="G167" s="37"/>
      <c r="H167" s="37"/>
      <c r="I167" s="37"/>
      <c r="J167" s="37"/>
      <c r="K167" s="37"/>
      <c r="L167" s="37"/>
      <c r="M167" s="37"/>
      <c r="N167" s="37"/>
      <c r="O167" s="37"/>
      <c r="P167" s="37"/>
      <c r="Q167" s="37"/>
      <c r="R167" s="37"/>
      <c r="S167" s="37"/>
      <c r="T167" s="37"/>
      <c r="U167" s="37"/>
      <c r="V167" s="37"/>
      <c r="W167" s="37"/>
      <c r="X167" s="37"/>
      <c r="Y167" s="37"/>
      <c r="Z167" s="37"/>
      <c r="AA167" s="37"/>
      <c r="AB167" s="37"/>
      <c r="AC167" s="37"/>
    </row>
    <row r="168" spans="1:29" x14ac:dyDescent="0.2">
      <c r="A168" s="37"/>
      <c r="B168" s="37"/>
      <c r="C168" s="37"/>
      <c r="D168" s="37"/>
      <c r="E168" s="37"/>
      <c r="F168" s="37"/>
      <c r="G168" s="37"/>
      <c r="H168" s="37"/>
      <c r="I168" s="37"/>
      <c r="J168" s="37"/>
      <c r="K168" s="37"/>
      <c r="L168" s="37"/>
      <c r="M168" s="37"/>
      <c r="N168" s="37"/>
      <c r="O168" s="37"/>
      <c r="P168" s="37"/>
      <c r="Q168" s="37"/>
      <c r="R168" s="37"/>
      <c r="S168" s="37"/>
      <c r="T168" s="37"/>
      <c r="U168" s="37"/>
      <c r="V168" s="37"/>
      <c r="W168" s="37"/>
      <c r="X168" s="37"/>
      <c r="Y168" s="37"/>
      <c r="Z168" s="37"/>
      <c r="AA168" s="37"/>
      <c r="AB168" s="37"/>
      <c r="AC168" s="37"/>
    </row>
    <row r="169" spans="1:29" x14ac:dyDescent="0.2">
      <c r="A169" s="37"/>
      <c r="B169" s="37"/>
      <c r="C169" s="37"/>
      <c r="D169" s="37"/>
      <c r="E169" s="37"/>
      <c r="F169" s="37"/>
      <c r="G169" s="37"/>
      <c r="H169" s="37"/>
      <c r="I169" s="37"/>
      <c r="J169" s="37"/>
      <c r="K169" s="37"/>
      <c r="L169" s="37"/>
      <c r="M169" s="37"/>
      <c r="N169" s="37"/>
      <c r="O169" s="37"/>
      <c r="P169" s="37"/>
      <c r="Q169" s="37"/>
      <c r="R169" s="37"/>
      <c r="S169" s="37"/>
      <c r="T169" s="37"/>
      <c r="U169" s="37"/>
      <c r="V169" s="37"/>
      <c r="W169" s="37"/>
      <c r="X169" s="37"/>
      <c r="Y169" s="37"/>
      <c r="Z169" s="37"/>
      <c r="AA169" s="37"/>
      <c r="AB169" s="37"/>
      <c r="AC169" s="37"/>
    </row>
    <row r="170" spans="1:29" x14ac:dyDescent="0.2">
      <c r="A170" s="37"/>
      <c r="B170" s="37"/>
      <c r="C170" s="37"/>
      <c r="D170" s="37"/>
      <c r="E170" s="37"/>
      <c r="F170" s="37"/>
      <c r="G170" s="37"/>
      <c r="H170" s="37"/>
      <c r="I170" s="37"/>
      <c r="J170" s="37"/>
      <c r="K170" s="37"/>
      <c r="L170" s="37"/>
      <c r="M170" s="37"/>
      <c r="N170" s="37"/>
      <c r="O170" s="37"/>
      <c r="P170" s="37"/>
      <c r="Q170" s="37"/>
      <c r="R170" s="37"/>
      <c r="S170" s="37"/>
      <c r="T170" s="37"/>
      <c r="U170" s="37"/>
      <c r="V170" s="37"/>
      <c r="W170" s="37"/>
      <c r="X170" s="37"/>
      <c r="Y170" s="37"/>
      <c r="Z170" s="37"/>
      <c r="AA170" s="37"/>
      <c r="AB170" s="37"/>
      <c r="AC170" s="37"/>
    </row>
    <row r="171" spans="1:29" x14ac:dyDescent="0.2">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row>
    <row r="172" spans="1:29" x14ac:dyDescent="0.2">
      <c r="A172" s="37"/>
      <c r="B172" s="37"/>
      <c r="C172" s="37"/>
      <c r="D172" s="37"/>
      <c r="E172" s="37"/>
      <c r="F172" s="37"/>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row>
    <row r="173" spans="1:29" x14ac:dyDescent="0.2">
      <c r="A173" s="37"/>
      <c r="B173" s="37"/>
      <c r="C173" s="37"/>
      <c r="D173" s="37"/>
      <c r="E173" s="37"/>
      <c r="F173" s="37"/>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row>
    <row r="174" spans="1:29" x14ac:dyDescent="0.2">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row>
    <row r="175" spans="1:29" x14ac:dyDescent="0.2">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row>
    <row r="176" spans="1:29" x14ac:dyDescent="0.2">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row>
    <row r="177" spans="1:29" x14ac:dyDescent="0.2">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row>
    <row r="178" spans="1:29" x14ac:dyDescent="0.2">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row>
    <row r="179" spans="1:29" x14ac:dyDescent="0.2">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row>
    <row r="180" spans="1:29" x14ac:dyDescent="0.2">
      <c r="A180" s="37"/>
      <c r="B180" s="37"/>
      <c r="C180" s="37"/>
      <c r="D180" s="37"/>
      <c r="E180" s="37"/>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row>
    <row r="181" spans="1:29" x14ac:dyDescent="0.2">
      <c r="A181" s="37"/>
      <c r="B181" s="37"/>
      <c r="C181" s="37"/>
      <c r="D181" s="37"/>
      <c r="E181" s="37"/>
      <c r="F181" s="37"/>
      <c r="G181" s="37"/>
      <c r="H181" s="37"/>
      <c r="I181" s="37"/>
      <c r="J181" s="37"/>
      <c r="K181" s="37"/>
      <c r="L181" s="37"/>
      <c r="M181" s="37"/>
      <c r="N181" s="37"/>
      <c r="O181" s="37"/>
      <c r="P181" s="37"/>
      <c r="Q181" s="37"/>
      <c r="R181" s="37"/>
      <c r="S181" s="37"/>
      <c r="T181" s="37"/>
      <c r="U181" s="37"/>
      <c r="V181" s="37"/>
      <c r="W181" s="37"/>
      <c r="X181" s="37"/>
      <c r="Y181" s="37"/>
      <c r="Z181" s="37"/>
      <c r="AA181" s="37"/>
      <c r="AB181" s="37"/>
      <c r="AC181" s="37"/>
    </row>
    <row r="182" spans="1:29" x14ac:dyDescent="0.2">
      <c r="A182" s="37"/>
      <c r="B182" s="37"/>
      <c r="C182" s="37"/>
      <c r="D182" s="37"/>
      <c r="E182" s="37"/>
      <c r="F182" s="37"/>
      <c r="G182" s="37"/>
      <c r="H182" s="37"/>
      <c r="I182" s="37"/>
      <c r="J182" s="37"/>
      <c r="K182" s="37"/>
      <c r="L182" s="37"/>
      <c r="M182" s="37"/>
      <c r="N182" s="37"/>
      <c r="O182" s="37"/>
      <c r="P182" s="37"/>
      <c r="Q182" s="37"/>
      <c r="R182" s="37"/>
      <c r="S182" s="37"/>
      <c r="T182" s="37"/>
      <c r="U182" s="37"/>
      <c r="V182" s="37"/>
      <c r="W182" s="37"/>
      <c r="X182" s="37"/>
      <c r="Y182" s="37"/>
      <c r="Z182" s="37"/>
      <c r="AA182" s="37"/>
      <c r="AB182" s="37"/>
      <c r="AC182" s="37"/>
    </row>
    <row r="183" spans="1:29" x14ac:dyDescent="0.2">
      <c r="A183" s="37"/>
      <c r="B183" s="37"/>
      <c r="C183" s="37"/>
      <c r="D183" s="37"/>
      <c r="E183" s="37"/>
      <c r="F183" s="37"/>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row>
  </sheetData>
  <mergeCells count="28">
    <mergeCell ref="H117:P118"/>
    <mergeCell ref="C74:F74"/>
    <mergeCell ref="I86:O87"/>
    <mergeCell ref="I69:J69"/>
    <mergeCell ref="K69:L69"/>
    <mergeCell ref="I70:J70"/>
    <mergeCell ref="K70:L70"/>
    <mergeCell ref="I71:J71"/>
    <mergeCell ref="K71:L71"/>
    <mergeCell ref="I72:J72"/>
    <mergeCell ref="K72:L72"/>
    <mergeCell ref="I73:J73"/>
    <mergeCell ref="K73:L73"/>
    <mergeCell ref="E77:F77"/>
    <mergeCell ref="E78:F78"/>
    <mergeCell ref="E79:F79"/>
    <mergeCell ref="C8:D8"/>
    <mergeCell ref="I8:J8"/>
    <mergeCell ref="L8:N8"/>
    <mergeCell ref="O8:P8"/>
    <mergeCell ref="D2:O3"/>
    <mergeCell ref="E80:F80"/>
    <mergeCell ref="E81:F81"/>
    <mergeCell ref="C77:D77"/>
    <mergeCell ref="C78:D78"/>
    <mergeCell ref="C79:D79"/>
    <mergeCell ref="C80:D80"/>
    <mergeCell ref="C81:D81"/>
  </mergeCells>
  <pageMargins left="0.25" right="0.25" top="0.75" bottom="0.75" header="0.3" footer="0.3"/>
  <pageSetup paperSize="8" scale="48"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ensitivity">
                <anchor moveWithCells="1" sizeWithCells="1">
                  <from>
                    <xdr:col>22</xdr:col>
                    <xdr:colOff>469900</xdr:colOff>
                    <xdr:row>114</xdr:row>
                    <xdr:rowOff>25400</xdr:rowOff>
                  </from>
                  <to>
                    <xdr:col>24</xdr:col>
                    <xdr:colOff>482600</xdr:colOff>
                    <xdr:row>116</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B87EA-2398-6149-9CD6-06C4BAFDD5B4}">
  <sheetPr codeName="Sheet8"/>
  <dimension ref="A1"/>
  <sheetViews>
    <sheetView workbookViewId="0"/>
  </sheetViews>
  <sheetFormatPr baseColWidth="10" defaultRowHeight="15" x14ac:dyDescent="0.2"/>
  <sheetData/>
  <pageMargins left="0.7" right="0.7" top="0.75" bottom="0.75" header="0.3" footer="0.3"/>
  <pageSetup paperSize="9" orientation="portrait" horizontalDpi="0" verticalDpi="0"/>
</worksheet>
</file>

<file path=docMetadata/LabelInfo.xml><?xml version="1.0" encoding="utf-8"?>
<clbl:labelList xmlns:clbl="http://schemas.microsoft.com/office/2020/mipLabelMetadata">
  <clbl:label id="{9d97530e-8f27-4137-a2a9-5cb4dcf26f2e}" enabled="0" method="" siteId="{9d97530e-8f27-4137-a2a9-5cb4dcf26f2e}"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Sheet1</vt:lpstr>
      <vt:lpstr>sensitivity</vt:lpstr>
      <vt:lpstr>Scenario Summary</vt:lpstr>
      <vt:lpstr>MC_sim</vt:lpstr>
      <vt:lpstr>MC_data</vt:lpstr>
      <vt:lpstr>MC_hist</vt:lpstr>
      <vt:lpstr>Report</vt:lpstr>
      <vt:lpstr>Sheet2</vt:lpstr>
      <vt:lpstr>DPP</vt:lpstr>
      <vt:lpstr>DPP_data</vt:lpstr>
      <vt:lpstr>Inflation_rate</vt:lpstr>
      <vt:lpstr>inflationRate</vt:lpstr>
      <vt:lpstr>IRR</vt:lpstr>
      <vt:lpstr>irr_data</vt:lpstr>
      <vt:lpstr>NPV</vt:lpstr>
      <vt:lpstr>npv_data</vt:lpstr>
      <vt:lpstr>PI</vt:lpstr>
      <vt:lpstr>pi_data</vt:lpstr>
      <vt:lpstr>PP</vt:lpstr>
      <vt:lpstr>pp_data</vt:lpstr>
      <vt:lpstr>production_cost</vt:lpstr>
      <vt:lpstr>productionCost</vt:lpstr>
      <vt:lpstr>sc</vt:lpstr>
      <vt:lpstr>sc_1</vt:lpstr>
      <vt:lpstr>Taxes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Investment Analysis &amp; Risk Modeling in Excel (VBA)</dc:title>
  <dc:subject>Capital investment analysis and risk modeling</dc:subject>
  <dc:creator>Tatiana Tongwa</dc:creator>
  <cp:keywords>investment analysis, Excel, VBA, Monte Carlo, sensitivity analysis</cp:keywords>
  <dc:description/>
  <cp:lastModifiedBy>Tatiana Tongwa</cp:lastModifiedBy>
  <cp:lastPrinted>2026-09-06T12:02:14Z</cp:lastPrinted>
  <dcterms:created xsi:type="dcterms:W3CDTF">2025-03-17T21:28:06Z</dcterms:created>
  <dcterms:modified xsi:type="dcterms:W3CDTF">2026-09-06T12:17:34Z</dcterms:modified>
  <cp:category>Financial Modeling</cp:category>
</cp:coreProperties>
</file>